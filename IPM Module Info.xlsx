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Module Unique Effects" sheetId="2" r:id="rId6"/>
    <sheet state="visible" name="Drill Substats" sheetId="3" r:id="rId7"/>
    <sheet state="visible" name="Transport Substats" sheetId="4" r:id="rId8"/>
    <sheet state="visible" name="Synth Substats" sheetId="5" r:id="rId9"/>
    <sheet state="visible" name="Remote Substats" sheetId="6" r:id="rId10"/>
    <sheet state="visible" name="Module Upgrade Info v3.0.11" sheetId="7" r:id="rId11"/>
    <sheet state="hidden" name="Module Upgrade Info v3.0.6" sheetId="8" r:id="rId12"/>
    <sheet state="hidden" name="Module Upgrade Info (Prenerf)" sheetId="9" r:id="rId13"/>
    <sheet state="visible" name="x5 x10 x50 upgrade cost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9">
      <text>
        <t xml:space="preserve">If you see this note, you are cool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If you can 10+ Colonize your VPS (p66), then its worth using.</t>
      </text>
    </comment>
    <comment authorId="0" ref="A24">
      <text>
        <t xml:space="preserve">If you have a lot of scan time reduction, and dont check to reset probes often</t>
      </text>
    </comment>
    <comment authorId="0" ref="A23">
      <text>
        <t xml:space="preserve">-20% scan time is the main benefit here. Maxes out secondary scans faster.</t>
      </text>
    </comment>
    <comment authorId="0" ref="A22">
      <text>
        <t xml:space="preserve">Generally good for getting more pink and debris spread</t>
      </text>
    </comment>
    <comment authorId="0" ref="A18">
      <text>
        <t xml:space="preserve">High alloys reduce to 1 at leg</t>
      </text>
    </comment>
    <comment authorId="0" ref="A17">
      <text>
        <t xml:space="preserve">For Speedrunning I guess, or maybe a ton of prod boost +tw</t>
      </text>
    </comment>
    <comment authorId="0" ref="A16">
      <text>
        <t xml:space="preserve">Switch when pg/nm market is in preview and is worse than what crawler will give you</t>
      </text>
    </comment>
    <comment authorId="0" ref="A13">
      <text>
        <t xml:space="preserve"> With 5x secondary scans, and a 6+ star non-miner crafter leader, Personal Pulse becomes worthwhile to use, even if you lose beam count.
Highest commitment, but Highest cap
(Can reach 152 beams maximum)</t>
      </text>
    </comment>
    <comment authorId="0" ref="A12">
      <text>
        <t xml:space="preserve">Can basically run 1 non miner leader on p1, and mine leader on vps for extra frequency and decent beam count.
Low commitment, generally good value
(Can reach 228 beams maximum)</t>
      </text>
    </comment>
    <comment authorId="0" ref="A11">
      <text>
        <t xml:space="preserve">Switch when you have a positive market
(Can reach 228 beams maximum)
</t>
      </text>
    </comment>
    <comment authorId="0" ref="A10">
      <text>
        <t xml:space="preserve">Beam Highways is needed at the moment to max out mythic+ Crafting per beam substat.
However, this is generally a very small crafting increase as other modules can get most of the substat benefit anyways. But the effects of the other modules are far more impactful
(Can reach 304 beams maximum)</t>
      </text>
    </comment>
    <comment authorId="0" ref="A6">
      <text>
        <t xml:space="preserve">Much easier to use than Adaptive. 
Can be combo'd with Adaptive by using Adaptive first for colony, then switching to Exploration for a second free colony.
Cannot be used on t0</t>
      </text>
    </comment>
    <comment authorId="0" ref="A5">
      <text>
        <t xml:space="preserve">Have Colony Expansion from Research Gateway for best effect. Or keep planets under lvl5 to prevent colonies on lower planets. Must be used before terraforming.
Can be better than Exploration at Epic-Epic+, Since you can split colonies to specific planets in separate telescopes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If you are strong enough to get 10 colonies on vps, then this is pretty great. Probe dock combos nicely</t>
      </text>
    </comment>
    <comment authorId="0" ref="A16">
      <text>
        <t xml:space="preserve">Doubles asteroid and debris drops while using TW</t>
      </text>
    </comment>
    <comment authorId="0" ref="A13">
      <text>
        <t xml:space="preserve">Combo with Scan Harmonizer</t>
      </text>
    </comment>
    <comment authorId="0" ref="A10">
      <text>
        <t xml:space="preserve">Surface Instability surges are your friend</t>
      </text>
    </comment>
    <comment authorId="0" ref="A5">
      <text>
        <t xml:space="preserve">Wants Probe Planet bonus and instascans</t>
      </text>
    </comment>
    <comment authorId="0" ref="A4">
      <text>
        <t xml:space="preserve">Seems to reset when logging in until you view modules and beacon
Upgrading beacon can also fix it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Can be strong at higher rarities if you have low beam counts</t>
      </text>
    </comment>
    <comment authorId="0" ref="A3">
      <text>
        <t xml:space="preserve">Interacts additively with Item/alloy value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
      <text>
        <t xml:space="preserve">Said to be Fixed in 3.0.10
More testing needed</t>
      </text>
    </comment>
    <comment authorId="0" ref="A4">
      <text>
        <t xml:space="preserve">Said to be Fixed in 3.0.10
More testing needed</t>
      </text>
    </comment>
  </commentList>
</comments>
</file>

<file path=xl/sharedStrings.xml><?xml version="1.0" encoding="utf-8"?>
<sst xmlns="http://schemas.openxmlformats.org/spreadsheetml/2006/main" count="634" uniqueCount="355">
  <si>
    <t>Module Info Sheet</t>
  </si>
  <si>
    <t>Module Info</t>
  </si>
  <si>
    <t>Effect</t>
  </si>
  <si>
    <t>By: Silversneakers and Taryth</t>
  </si>
  <si>
    <t>Rarity</t>
  </si>
  <si>
    <t>Name</t>
  </si>
  <si>
    <t>This is a living document where we will be updating information about the modules as new information gets discovered. All things are subject to change. There are also many bugs, so watch out for those</t>
  </si>
  <si>
    <t>Common</t>
  </si>
  <si>
    <t>Updates: (Up to date numbers marked in blue)</t>
  </si>
  <si>
    <t>Rare</t>
  </si>
  <si>
    <t>Version 3.0.10 has dropped, hopefully fixing many of the module bugs that have been plaguing us. More testing is needed to see if they are actually fixed.</t>
  </si>
  <si>
    <t>Epic</t>
  </si>
  <si>
    <t>Version 3.0.6 has dropped, nerfing the stats of lower level modules and increasing credit costs for upgrades. Updated numbers will be marked in light blue as we confirm them.</t>
  </si>
  <si>
    <t>Legendary</t>
  </si>
  <si>
    <t>Important</t>
  </si>
  <si>
    <t>Mythic</t>
  </si>
  <si>
    <t>Understanding how module buffs interact with the greater whole. Modules in total are very similar to how the Space Station works. All buffs within modules that have the same name are added together, before the final module total is multiplied against everything else. Eg, if you see a 2x crafting substat line, it will act as a +1 multiplier, added to the total base crafting from modules together. A 1.5x would be +0.5, a 3.5x would be +2.5, etc.</t>
  </si>
  <si>
    <t>Ancestral</t>
  </si>
  <si>
    <t>This sheet will have a rudimentary ranking system for the power of various modules and stats. These are ranked based on a combination of factors including the relevance of stat to tournament play, and a smaller extent farming. Alongside the maximum stat bonus, and difficulty in achieving said bonus compared to other substats of the same type. There are certain conditional effects that may only be strong in certain specific niches, so keep your own circumstances in mind.</t>
  </si>
  <si>
    <t>Base Effect (Epic, Epic+)</t>
  </si>
  <si>
    <t>Ship Speed +</t>
  </si>
  <si>
    <t>Legendary, Legendary+</t>
  </si>
  <si>
    <t>Color Key</t>
  </si>
  <si>
    <t>1.02x</t>
  </si>
  <si>
    <t>Mythic, Mythic+</t>
  </si>
  <si>
    <t>Mining Colony Bonus $</t>
  </si>
  <si>
    <t>1.05x</t>
  </si>
  <si>
    <t>1.1x</t>
  </si>
  <si>
    <t>1.25x</t>
  </si>
  <si>
    <t>Cargo Bonus +</t>
  </si>
  <si>
    <t>1.5x</t>
  </si>
  <si>
    <t>2x</t>
  </si>
  <si>
    <t>Substat Interaction Tags</t>
  </si>
  <si>
    <t>Mining Beacon Bonus $ #</t>
  </si>
  <si>
    <t>Ship Colony Bonus $</t>
  </si>
  <si>
    <t>Strong Picks</t>
  </si>
  <si>
    <t>1.2x</t>
  </si>
  <si>
    <t>1.35x</t>
  </si>
  <si>
    <t xml:space="preserve">Drill </t>
  </si>
  <si>
    <t>$ = Unique substat, generally multiplicative</t>
  </si>
  <si>
    <t>Mining Probe Bonus $</t>
  </si>
  <si>
    <t>Cargo Colony Bonus $</t>
  </si>
  <si>
    <t>1.15x</t>
  </si>
  <si>
    <t>Slightly less optimal but still good</t>
  </si>
  <si>
    <t>1.6x</t>
  </si>
  <si>
    <t>1.8x</t>
  </si>
  <si>
    <t>2.1x</t>
  </si>
  <si>
    <t>Probe Ship Bonus $</t>
  </si>
  <si>
    <t>Planet Boost Bonus</t>
  </si>
  <si>
    <t>1.3x</t>
  </si>
  <si>
    <t>Trifact Drill</t>
  </si>
  <si>
    <t>1.45x</t>
  </si>
  <si>
    <t>Mining, ship speed, and cargo upgrades are free every 30 levels</t>
  </si>
  <si>
    <t>Probe Cargo Bonus $</t>
  </si>
  <si>
    <t>every 25 levels</t>
  </si>
  <si>
    <t>every 20 levels</t>
  </si>
  <si>
    <t>every 15 levels</t>
  </si>
  <si>
    <t>1.75x</t>
  </si>
  <si>
    <t>Cargo per asteroid +  ☆</t>
  </si>
  <si>
    <t>Planet Boost Duration</t>
  </si>
  <si>
    <t>1.07x</t>
  </si>
  <si>
    <t>0.004, max 1.15x</t>
  </si>
  <si>
    <t>0.004, max 1.3x</t>
  </si>
  <si>
    <t>0.004, max 2x</t>
  </si>
  <si>
    <t>0.004, max 2.25x</t>
  </si>
  <si>
    <t>Ship Speed per asteroid +  ☆</t>
  </si>
  <si>
    <t>Colonization Cost</t>
  </si>
  <si>
    <t>Adaptive Drill</t>
  </si>
  <si>
    <t xml:space="preserve">Freely Upgrade the first level of 3 different planet colonies. All rerolled colony requests cost 5% less than normal. Reroll Cooldown is now 11 hours instead of 12. </t>
  </si>
  <si>
    <t>All rerolled colony requests cost 10% less than normal. Reroll Cooldown is now 10 hours instead of 12.</t>
  </si>
  <si>
    <t>Neutral compared to peers</t>
  </si>
  <si>
    <t>All rerolled colony requests cost 15% less than normal. Reroll Cooldown is now 8.5 hours instead of 12.</t>
  </si>
  <si>
    <t>Cargo for each own asteroid +</t>
  </si>
  <si>
    <t>All rerolled colony requests cost 20% less than normal. Reroll Cooldown is now 7 hours instead of 12.</t>
  </si>
  <si>
    <t>0.04, max 1.5x</t>
  </si>
  <si>
    <t>0.04, max 2x</t>
  </si>
  <si>
    <t>0.04, max 2.5x</t>
  </si>
  <si>
    <t>0.04, max 3.5x</t>
  </si>
  <si>
    <t>0.04, max 5x</t>
  </si>
  <si>
    <t>Ship Speed for each own asteroid +</t>
  </si>
  <si>
    <t>☆ = Substats marked with  ☆ are not exactly unique, but are clear standouts for their bonus type in terms of general stat gain</t>
  </si>
  <si>
    <t>Cash Windfall Bonus</t>
  </si>
  <si>
    <t>1.04x</t>
  </si>
  <si>
    <t>Cargo in telescope for each colony +</t>
  </si>
  <si>
    <t>Exploration Drill</t>
  </si>
  <si>
    <t>1.08x</t>
  </si>
  <si>
    <t>Pick an Unlocked Telescope and add one mining colony level to all of its planets. Can be used on one different telescope researches.</t>
  </si>
  <si>
    <t>Strict Requirements/Very Niche, Can be strong only if requirements are met easily</t>
  </si>
  <si>
    <t>0.035, max 1.15</t>
  </si>
  <si>
    <t>Can be used on 2 different telescope researches.</t>
  </si>
  <si>
    <t>0.035, max 1.3x</t>
  </si>
  <si>
    <t>Can be used on 3 different telescope researches.</t>
  </si>
  <si>
    <t>0.035, max 1.5x</t>
  </si>
  <si>
    <t>Can be used on 4 different telescope researches.</t>
  </si>
  <si>
    <t>Mining per Asteroids Mined +  ☆</t>
  </si>
  <si>
    <t>0.035, max 1.75x</t>
  </si>
  <si>
    <t>Ship Speed in telescope for each colony +</t>
  </si>
  <si>
    <t># = Substats marked with # are currently bugged in some capacity, and may not work as intended. Check notes on the cell for details.</t>
  </si>
  <si>
    <t xml:space="preserve">Mercurial Drill </t>
  </si>
  <si>
    <t>Cargo in telescopes with ≥20 colonies +</t>
  </si>
  <si>
    <t>-15% colonization costs on planets targeted by an alchemy research project</t>
  </si>
  <si>
    <t>Subpar compared to peers</t>
  </si>
  <si>
    <t>Speed in telescopes with ≥20 colonies +</t>
  </si>
  <si>
    <t>Cargo on planet with ≥10 colonies +</t>
  </si>
  <si>
    <t>2.5x</t>
  </si>
  <si>
    <t xml:space="preserve">Planet Boost Bonus per Asteroids Mined </t>
  </si>
  <si>
    <t>Speed on planet with ≥10 colonies +</t>
  </si>
  <si>
    <t>0.008, Max 1.5x</t>
  </si>
  <si>
    <t>0.008, Max 1.7x</t>
  </si>
  <si>
    <t>0.008, Max 1.8x</t>
  </si>
  <si>
    <t>Module swap costs (per galaxy):</t>
  </si>
  <si>
    <t>0.008, Max 2x</t>
  </si>
  <si>
    <t>1st</t>
  </si>
  <si>
    <t>Free</t>
  </si>
  <si>
    <t xml:space="preserve">Planet Boost Bonus for each colony </t>
  </si>
  <si>
    <t>2nd</t>
  </si>
  <si>
    <t>0.1 , Max 1.5x</t>
  </si>
  <si>
    <t>40DM</t>
  </si>
  <si>
    <t>0.1 , Max 1.7x</t>
  </si>
  <si>
    <t xml:space="preserve">Transport </t>
  </si>
  <si>
    <t>0.1 , Max 1.8x</t>
  </si>
  <si>
    <t>0.1 , Max 2x</t>
  </si>
  <si>
    <t>3rd</t>
  </si>
  <si>
    <t>100DM</t>
  </si>
  <si>
    <t>Mining for each own asteroid Mined +</t>
  </si>
  <si>
    <t>4th</t>
  </si>
  <si>
    <t>200DM</t>
  </si>
  <si>
    <t>0.1, Max 2.8x</t>
  </si>
  <si>
    <t>0.1, Max 4x</t>
  </si>
  <si>
    <t>Duplicates</t>
  </si>
  <si>
    <t>0.1, Max 5x</t>
  </si>
  <si>
    <t>Same Type</t>
  </si>
  <si>
    <t>Beam Highways</t>
  </si>
  <si>
    <t>Pure Fodder</t>
  </si>
  <si>
    <t xml:space="preserve">X1.005 ship speed &amp; cargo per asteroid and debris mined (max x2). This galaxy is considered to have 4 times more beams. </t>
  </si>
  <si>
    <t>max 2.75x</t>
  </si>
  <si>
    <t>Colonization Cost per probe scans in galaxy</t>
  </si>
  <si>
    <t>max 3.5x</t>
  </si>
  <si>
    <t>max 4.5x</t>
  </si>
  <si>
    <t>Rare+</t>
  </si>
  <si>
    <t>-0.08%, Max 10%</t>
  </si>
  <si>
    <t>2 Rare</t>
  </si>
  <si>
    <t>-0.08%, Max 15%</t>
  </si>
  <si>
    <t>-0.08%, Max 20%</t>
  </si>
  <si>
    <t>Colonization Cost per beam</t>
  </si>
  <si>
    <t>-.11%, Max 10%</t>
  </si>
  <si>
    <t>Ark Network</t>
  </si>
  <si>
    <t>2 Rare+</t>
  </si>
  <si>
    <t>-.11%, Max 20%</t>
  </si>
  <si>
    <t>X1.006 market bonus per beam in the galaxy (max x1.5). Each colonized planet with a beam is considered to have 2 beams. (84 beams to max)</t>
  </si>
  <si>
    <t>max 2x, each colonized beam is worth 3 (167 beams to max)</t>
  </si>
  <si>
    <t>Time Warp Duration $</t>
  </si>
  <si>
    <t>max 2.5x (250 beams to max)</t>
  </si>
  <si>
    <t>3x 3x Rare Dupes</t>
  </si>
  <si>
    <t>max 3x (334 beams to max)</t>
  </si>
  <si>
    <t>9 Rares</t>
  </si>
  <si>
    <t>Mining on planet with ≥10 colonies +</t>
  </si>
  <si>
    <t>Epic+</t>
  </si>
  <si>
    <t>3x</t>
  </si>
  <si>
    <t>1 Epic</t>
  </si>
  <si>
    <t>4.5x</t>
  </si>
  <si>
    <t>6x</t>
  </si>
  <si>
    <t>Leg</t>
  </si>
  <si>
    <t xml:space="preserve">Fleet Consul </t>
  </si>
  <si>
    <t>2 Epic+</t>
  </si>
  <si>
    <t>When the leader (only 1 needed) is a non-mining manager (primary and secondary), +10% asteroid &amp; debris frequency. The galaxy is also considered to have three times more beams.</t>
  </si>
  <si>
    <t>15% asteroid/debris frequency</t>
  </si>
  <si>
    <t>Leg+</t>
  </si>
  <si>
    <t>20% asteroid/debris frequency</t>
  </si>
  <si>
    <t>25% asteroid/debris frequency</t>
  </si>
  <si>
    <t>1 Epic+</t>
  </si>
  <si>
    <t>Subtotal</t>
  </si>
  <si>
    <t>4 Epic Dupes</t>
  </si>
  <si>
    <t>36 Rares</t>
  </si>
  <si>
    <t>72 Rares</t>
  </si>
  <si>
    <t>1 Leg+</t>
  </si>
  <si>
    <t xml:space="preserve">Personal Pulse </t>
  </si>
  <si>
    <t xml:space="preserve">X1.5 secondary to all non-mining managers (primary and secondary). Each telescope with at least one non-mining manager is considered to have two times more beams. </t>
  </si>
  <si>
    <t>Mythic+</t>
  </si>
  <si>
    <t>X1.75 secondary to all non-mining managers</t>
  </si>
  <si>
    <t>X2 secondary to all non-mining managers</t>
  </si>
  <si>
    <t>X2.75 secondary to all non-mining managers</t>
  </si>
  <si>
    <t>Total</t>
  </si>
  <si>
    <t>8 Epic Dupes</t>
  </si>
  <si>
    <t>180 Rares</t>
  </si>
  <si>
    <t>Reroll Shard Cost, per locked substat</t>
  </si>
  <si>
    <t>Synth</t>
  </si>
  <si>
    <t>Substat reroll odds</t>
  </si>
  <si>
    <t>Market Crawler</t>
  </si>
  <si>
    <t xml:space="preserve">Force all variations in the next market to level 1 positives only, usable every 5 markets </t>
  </si>
  <si>
    <t>force next market to level 2 postitives only</t>
  </si>
  <si>
    <t>usable every 4 markets</t>
  </si>
  <si>
    <t>force next market to level 3 posistives only</t>
  </si>
  <si>
    <t>Burst Injector</t>
  </si>
  <si>
    <t>Sum</t>
  </si>
  <si>
    <t xml:space="preserve">X1.5 Production Boost speed in the first 2 smelter and crafter slots. X3 production boost speed for alternate recipes in those slots. </t>
  </si>
  <si>
    <t>X2 Production Boost speed in the first 2 smelter and crafter slots.</t>
  </si>
  <si>
    <t>X2.5 Production Boost speed in the first 2 smelter and crafter slots.</t>
  </si>
  <si>
    <t>X3 Production Boost speed in the first 2 smelter and crafter slots.</t>
  </si>
  <si>
    <t>Ore Classifier</t>
  </si>
  <si>
    <t>Smelting prices -25%</t>
  </si>
  <si>
    <t>Incubation Suite</t>
  </si>
  <si>
    <t>Crafting prices -10%</t>
  </si>
  <si>
    <t>Remote</t>
  </si>
  <si>
    <t>Scan Harmonizer</t>
  </si>
  <si>
    <t>Every 2 hours, spawn 1 planetary asteroid on each planet being scanned by a probe. Also spawns 2 regular asteroids, 1 special (pink), and 1 debris around the mothership. (smaller size of normal A/D)</t>
  </si>
  <si>
    <t>Spawns 3 regular asteroids instead of 2</t>
  </si>
  <si>
    <t>Spawns 2 debris instead of 1</t>
  </si>
  <si>
    <t>Spawns 2 Pinks instead of 1</t>
  </si>
  <si>
    <t>Belt Sonar</t>
  </si>
  <si>
    <t>-20% probe scan time, x1.1 probe asteroid chance. Planetary asteroids size and count x3.</t>
  </si>
  <si>
    <t>1.15x Probe Asteroid chance, Planetary asteroids size and count x4.</t>
  </si>
  <si>
    <t>1.2x Probe Asteroid chance, Planetary asteroids size and count x5.</t>
  </si>
  <si>
    <t>1.25x Probe Asteroid chance, Planetary asteroids size and count x6.</t>
  </si>
  <si>
    <t>Remote Scanner</t>
  </si>
  <si>
    <t>Probe consecutive scan penalty reduced to 8%</t>
  </si>
  <si>
    <t>Probe Dock</t>
  </si>
  <si>
    <t>Probes scanning planets with a colony level 10+ get 1 free instant scan (per probe)</t>
  </si>
  <si>
    <t>2 free instascans</t>
  </si>
  <si>
    <t>3 free instascans</t>
  </si>
  <si>
    <t>4 free instascans</t>
  </si>
  <si>
    <t>Resource Value $ #</t>
  </si>
  <si>
    <t>1.55x</t>
  </si>
  <si>
    <t>Alloy Value $ #</t>
  </si>
  <si>
    <t>2.0x</t>
  </si>
  <si>
    <t>Item Value $ #</t>
  </si>
  <si>
    <t xml:space="preserve">Smelt Speed Bonus + </t>
  </si>
  <si>
    <t>3.5x</t>
  </si>
  <si>
    <t xml:space="preserve">Craft Speed Bonus + </t>
  </si>
  <si>
    <t>Production Boost Speed</t>
  </si>
  <si>
    <t>Production Boost Duration</t>
  </si>
  <si>
    <t>Market Bonus</t>
  </si>
  <si>
    <t>Smelt Speed per Planet with colony</t>
  </si>
  <si>
    <t>0.04, max 1.1x (3)</t>
  </si>
  <si>
    <t>0.04, Max 1.5x (13)</t>
  </si>
  <si>
    <t>0.04, max 3 (50)</t>
  </si>
  <si>
    <t>0.04, max 4x</t>
  </si>
  <si>
    <t>Smelt Speed per colony level</t>
  </si>
  <si>
    <t>0.01, Max 1.3x (30)</t>
  </si>
  <si>
    <t>0.01, Max 1.75x (75)</t>
  </si>
  <si>
    <t>0.01, max 3x (200)</t>
  </si>
  <si>
    <t>0.01, max 4x (300)</t>
  </si>
  <si>
    <t xml:space="preserve">Smelt Speed per Beam +  ☆ </t>
  </si>
  <si>
    <t>Craft Speed per planet with colony +</t>
  </si>
  <si>
    <t xml:space="preserve">Craft Speed per colony level + </t>
  </si>
  <si>
    <t>0.01, max 3 (200)</t>
  </si>
  <si>
    <t xml:space="preserve">Craft Speed per beam +  ☆ </t>
  </si>
  <si>
    <t>Market Bonus per planet with colony</t>
  </si>
  <si>
    <t>0.005, Max 1.15x (30)</t>
  </si>
  <si>
    <t>0.005, Max 1.2x (41)</t>
  </si>
  <si>
    <t>0.005, max 1.35 (71)</t>
  </si>
  <si>
    <t>0.005, max 1.4 (81)</t>
  </si>
  <si>
    <t>Market bonus per beam  ☆</t>
  </si>
  <si>
    <t>0.005, Max 1.25x (50)</t>
  </si>
  <si>
    <t>0.005, Max 1.4x (80)</t>
  </si>
  <si>
    <t>0.005, max 1.6 (121)</t>
  </si>
  <si>
    <t>0.005, max 1.8 (161)</t>
  </si>
  <si>
    <t>Smelt Speed of alloy for active recipie +</t>
  </si>
  <si>
    <t>0.3, Max 1.75x (3)</t>
  </si>
  <si>
    <t>0.3, max 3x (7)</t>
  </si>
  <si>
    <t>0.3, max 3.5x (9)</t>
  </si>
  <si>
    <t>Craft Speed of item for active recipie +</t>
  </si>
  <si>
    <t>Smelt Speed per planet with ≥10 colonies +</t>
  </si>
  <si>
    <t>0.07, Max 4x (43)</t>
  </si>
  <si>
    <t>0.07, Max 5x (58)</t>
  </si>
  <si>
    <t>Craft Speed per planet with ≥10 colonies +</t>
  </si>
  <si>
    <t>Smelt Speed per telescope with ≥20 colonies +</t>
  </si>
  <si>
    <t>0.16, max x3 (13)</t>
  </si>
  <si>
    <t>0.16, max x5 (25)</t>
  </si>
  <si>
    <t>Craft Speed per telescope with ≥20 colonies +</t>
  </si>
  <si>
    <t>Asteroid Frequency</t>
  </si>
  <si>
    <t>1.025x</t>
  </si>
  <si>
    <t>1.075x</t>
  </si>
  <si>
    <t xml:space="preserve">Debris Frequency </t>
  </si>
  <si>
    <t>1.03x</t>
  </si>
  <si>
    <t>1.06x</t>
  </si>
  <si>
    <t>Upgrading the Module level will affect every Module of the type</t>
  </si>
  <si>
    <t xml:space="preserve">Asteroid Value </t>
  </si>
  <si>
    <t xml:space="preserve">Pink Value </t>
  </si>
  <si>
    <t xml:space="preserve">Debris Value </t>
  </si>
  <si>
    <t>Probe Colony Bonus $</t>
  </si>
  <si>
    <t>1.4x</t>
  </si>
  <si>
    <t>1.7x</t>
  </si>
  <si>
    <t>Probe Primary Manager Skill Bonus $</t>
  </si>
  <si>
    <t>Probe Planet Boost Duration Bonus</t>
  </si>
  <si>
    <t>Cost</t>
  </si>
  <si>
    <t>Drill:</t>
  </si>
  <si>
    <t>Transport</t>
  </si>
  <si>
    <t>Probe Planet Boost Bonus</t>
  </si>
  <si>
    <t>Probe Asteroid chance</t>
  </si>
  <si>
    <t>Level</t>
  </si>
  <si>
    <t>Fragments</t>
  </si>
  <si>
    <t>1.11x</t>
  </si>
  <si>
    <t>Credits</t>
  </si>
  <si>
    <t>1.14x</t>
  </si>
  <si>
    <t>Total Frag</t>
  </si>
  <si>
    <t>Total Cred</t>
  </si>
  <si>
    <t>Mining</t>
  </si>
  <si>
    <t>Probe Asteroid size</t>
  </si>
  <si>
    <t>leg</t>
  </si>
  <si>
    <t>leg+</t>
  </si>
  <si>
    <t>mythic</t>
  </si>
  <si>
    <t>mythic+</t>
  </si>
  <si>
    <t>anc</t>
  </si>
  <si>
    <t>Asteroid Frequency per Speed upgrade  ☆</t>
  </si>
  <si>
    <t>Speed/Cargo</t>
  </si>
  <si>
    <t>0.0002, Max 1.075x</t>
  </si>
  <si>
    <t>0.0002, Max 1.1x (500)</t>
  </si>
  <si>
    <t>0.0002, Max 1.2x</t>
  </si>
  <si>
    <t>0.0002, Max 1.25x</t>
  </si>
  <si>
    <t>0.0002, Max 1.35x</t>
  </si>
  <si>
    <t xml:space="preserve">Debris Frequency per Speed upgrade </t>
  </si>
  <si>
    <t>0.0001, Max 1.05x</t>
  </si>
  <si>
    <t>Smelt/Craft</t>
  </si>
  <si>
    <t>0.0001, Max 1.075x (750)</t>
  </si>
  <si>
    <t>0.0001, Max 1.1x (1000)</t>
  </si>
  <si>
    <t>0.0001, Max 1.125x (1250)</t>
  </si>
  <si>
    <t>epic+</t>
  </si>
  <si>
    <t>0.0001, Max 1.15x</t>
  </si>
  <si>
    <t>Asteroid Value per Cargo upgrade  ☆</t>
  </si>
  <si>
    <t>myth</t>
  </si>
  <si>
    <t>0.001, Max 1.2x</t>
  </si>
  <si>
    <t>0.001, Max 1.5x</t>
  </si>
  <si>
    <t>myth+</t>
  </si>
  <si>
    <t>0.001, Max 2x</t>
  </si>
  <si>
    <t>0.001, Max 2.2x</t>
  </si>
  <si>
    <t>0.001, Max 2.5x</t>
  </si>
  <si>
    <t>Debris Value per Cargo upgrade  ☆</t>
  </si>
  <si>
    <t>0.001, Max 1.1x</t>
  </si>
  <si>
    <t>0.001, Max 1.3x (300)</t>
  </si>
  <si>
    <t>0.001, Max 1.8x (800)</t>
  </si>
  <si>
    <t>0.001, Max 2.1x</t>
  </si>
  <si>
    <t>Cash Windfall Value per colony level</t>
  </si>
  <si>
    <t>0.002, Max 1.1x</t>
  </si>
  <si>
    <t>0.002, Max 1.2x</t>
  </si>
  <si>
    <t>0.002, Max 1.3x</t>
  </si>
  <si>
    <t>0.002, Max 1.4x</t>
  </si>
  <si>
    <t>0.002, Max 1.5x</t>
  </si>
  <si>
    <t>Probe asteroid chance per ship/cargo scans</t>
  </si>
  <si>
    <t>0.03, Max 1.06x</t>
  </si>
  <si>
    <t>0.03, Max 1.1x</t>
  </si>
  <si>
    <t>0.03, Max 1.15x</t>
  </si>
  <si>
    <t>0.03, Max 1.2x</t>
  </si>
  <si>
    <t>Pink Frequency $</t>
  </si>
  <si>
    <t>Pink Frequency per lvl10 colony</t>
  </si>
  <si>
    <t>0.41, max 1.2 (49)</t>
  </si>
  <si>
    <t xml:space="preserve">0.41, max 1.4 </t>
  </si>
  <si>
    <t>0.0041, Max 1.5x</t>
  </si>
  <si>
    <t>Credit Multi per colonies/10 in galaxy +</t>
  </si>
  <si>
    <t>x5 frag</t>
  </si>
  <si>
    <t xml:space="preserve">x5 cred </t>
  </si>
  <si>
    <t>x10 frag</t>
  </si>
  <si>
    <t>x10 cred</t>
  </si>
  <si>
    <t>x50 frag</t>
  </si>
  <si>
    <t>x50 cred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</si>
</sst>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
  </numFmts>
  <fonts count="7">
    <font>
      <sz val="10.0"/>
      <color rgb="FF000000"/>
      <name val="Arial"/>
      <scheme val="minor"/>
    </font>
    <font>
      <b/>
      <color theme="1"/>
      <name val="Arial"/>
      <scheme val="minor"/>
    </font>
    <font>
      <b/>
      <u/>
      <sz val="12.0"/>
      <color theme="1"/>
      <name val="Arial"/>
      <scheme val="minor"/>
    </font>
    <font>
      <color theme="1"/>
      <name val="Arial"/>
      <scheme val="minor"/>
    </font>
    <font/>
    <font>
      <strike/>
      <color theme="1"/>
      <name val="Arial"/>
      <scheme val="minor"/>
    </font>
    <font>
      <color theme="1"/>
      <name val="Arial"/>
    </font>
  </fonts>
  <fills count="17">
    <fill>
      <patternFill patternType="none"/>
    </fill>
    <fill>
      <patternFill patternType="lightGray"/>
    </fill>
    <fill>
      <patternFill patternType="solid">
        <fgColor rgb="FFC9DAF8"/>
        <bgColor rgb="FFC9DAF8"/>
      </patternFill>
    </fill>
    <fill>
      <patternFill patternType="solid">
        <fgColor rgb="FF4A86E8"/>
        <bgColor rgb="FF4A86E8"/>
      </patternFill>
    </fill>
    <fill>
      <patternFill patternType="solid">
        <fgColor rgb="FF9900FF"/>
        <bgColor rgb="FF9900FF"/>
      </patternFill>
    </fill>
    <fill>
      <patternFill patternType="solid">
        <fgColor rgb="FFFF9900"/>
        <bgColor rgb="FFFF9900"/>
      </patternFill>
    </fill>
    <fill>
      <patternFill patternType="solid">
        <fgColor rgb="FFFF0000"/>
        <bgColor rgb="FFFF0000"/>
      </patternFill>
    </fill>
    <fill>
      <patternFill patternType="solid">
        <fgColor rgb="FFCC4125"/>
        <bgColor rgb="FFCC4125"/>
      </patternFill>
    </fill>
    <fill>
      <patternFill patternType="solid">
        <fgColor rgb="FF93C47D"/>
        <bgColor rgb="FF93C47D"/>
      </patternFill>
    </fill>
    <fill>
      <patternFill patternType="solid">
        <fgColor rgb="FF00FF00"/>
        <bgColor rgb="FF00FF00"/>
      </patternFill>
    </fill>
    <fill>
      <patternFill patternType="solid">
        <fgColor rgb="FFCCCCCC"/>
        <bgColor rgb="FFCCCCCC"/>
      </patternFill>
    </fill>
    <fill>
      <patternFill patternType="solid">
        <fgColor rgb="FFDD7E6B"/>
        <bgColor rgb="FFDD7E6B"/>
      </patternFill>
    </fill>
    <fill>
      <patternFill patternType="solid">
        <fgColor rgb="FFFFD966"/>
        <bgColor rgb="FFFFD966"/>
      </patternFill>
    </fill>
    <fill>
      <patternFill patternType="solid">
        <fgColor rgb="FF999999"/>
        <bgColor rgb="FF999999"/>
      </patternFill>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s>
  <borders count="12">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n">
        <color rgb="FF000000"/>
      </bottom>
    </border>
    <border>
      <right style="thick">
        <color rgb="FF000000"/>
      </right>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border>
    <border>
      <right style="thick">
        <color rgb="FF000000"/>
      </right>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0" fontId="3" numFmtId="0" xfId="0" applyAlignment="1" applyFont="1">
      <alignment horizontal="center" readingOrder="0"/>
    </xf>
    <xf borderId="0" fillId="0" fontId="3" numFmtId="0" xfId="0" applyAlignment="1" applyFont="1">
      <alignment readingOrder="0"/>
    </xf>
    <xf borderId="0" fillId="0" fontId="3" numFmtId="0" xfId="0" applyAlignment="1" applyFont="1">
      <alignment vertical="top"/>
    </xf>
    <xf borderId="0" fillId="0" fontId="3" numFmtId="0" xfId="0" applyAlignment="1" applyFont="1">
      <alignment readingOrder="0" shrinkToFit="0" wrapText="1"/>
    </xf>
    <xf borderId="0" fillId="0" fontId="1" numFmtId="0" xfId="0" applyAlignment="1" applyFont="1">
      <alignment horizontal="center" readingOrder="0"/>
    </xf>
    <xf borderId="0" fillId="2" fontId="3" numFmtId="0" xfId="0" applyAlignment="1" applyFill="1" applyFont="1">
      <alignment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3" numFmtId="0" xfId="0" applyAlignment="1" applyFill="1" applyFont="1">
      <alignment readingOrder="0"/>
    </xf>
    <xf borderId="0" fillId="7" fontId="1" numFmtId="0" xfId="0" applyAlignment="1" applyFill="1" applyFont="1">
      <alignment horizontal="center" readingOrder="0"/>
    </xf>
    <xf borderId="0" fillId="0" fontId="1" numFmtId="0" xfId="0" applyAlignment="1" applyFont="1">
      <alignment readingOrder="0" vertical="top"/>
    </xf>
    <xf borderId="0" fillId="8" fontId="1" numFmtId="0" xfId="0" applyAlignment="1" applyFill="1" applyFont="1">
      <alignment horizontal="center" readingOrder="0"/>
    </xf>
    <xf borderId="0" fillId="4" fontId="1" numFmtId="0" xfId="0" applyAlignment="1" applyFont="1">
      <alignment readingOrder="0" vertical="top"/>
    </xf>
    <xf borderId="0" fillId="8" fontId="3" numFmtId="0" xfId="0" applyAlignment="1" applyFont="1">
      <alignment readingOrder="0"/>
    </xf>
    <xf borderId="0" fillId="5" fontId="1" numFmtId="0" xfId="0" applyAlignment="1" applyFont="1">
      <alignment readingOrder="0" vertical="top"/>
    </xf>
    <xf borderId="0" fillId="2" fontId="3" numFmtId="0" xfId="0" applyAlignment="1" applyFont="1">
      <alignment horizontal="left" readingOrder="0"/>
    </xf>
    <xf borderId="0" fillId="7" fontId="1" numFmtId="0" xfId="0" applyAlignment="1" applyFont="1">
      <alignment readingOrder="0" vertical="top"/>
    </xf>
    <xf borderId="0" fillId="9" fontId="3" numFmtId="0" xfId="0" applyAlignment="1" applyFill="1" applyFont="1">
      <alignment readingOrder="0"/>
    </xf>
    <xf borderId="0" fillId="8" fontId="1" numFmtId="0" xfId="0" applyAlignment="1" applyFont="1">
      <alignment readingOrder="0" vertical="top"/>
    </xf>
    <xf borderId="1" fillId="10" fontId="1" numFmtId="0" xfId="0" applyAlignment="1" applyBorder="1" applyFill="1" applyFont="1">
      <alignment horizontal="center" readingOrder="0" shrinkToFit="0" vertical="top" wrapText="1"/>
    </xf>
    <xf borderId="2" fillId="0" fontId="4" numFmtId="0" xfId="0" applyBorder="1" applyFont="1"/>
    <xf borderId="1" fillId="0" fontId="3" numFmtId="0" xfId="0" applyAlignment="1" applyBorder="1" applyFont="1">
      <alignment readingOrder="0"/>
    </xf>
    <xf borderId="0" fillId="11" fontId="3" numFmtId="0" xfId="0" applyAlignment="1" applyFill="1" applyFont="1">
      <alignment readingOrder="0"/>
    </xf>
    <xf borderId="3" fillId="9" fontId="3" numFmtId="0" xfId="0" applyAlignment="1" applyBorder="1" applyFont="1">
      <alignment horizontal="center" readingOrder="0" shrinkToFit="0" vertical="top" wrapText="1"/>
    </xf>
    <xf borderId="4" fillId="0" fontId="4" numFmtId="0" xfId="0" applyBorder="1" applyFont="1"/>
    <xf borderId="0" fillId="0" fontId="3" numFmtId="0" xfId="0" applyAlignment="1" applyFont="1">
      <alignment shrinkToFit="0" vertical="top" wrapText="1"/>
    </xf>
    <xf borderId="0" fillId="0" fontId="3" numFmtId="0" xfId="0" applyAlignment="1" applyFont="1">
      <alignment horizontal="left"/>
    </xf>
    <xf borderId="0" fillId="0" fontId="3" numFmtId="0" xfId="0" applyAlignment="1" applyFont="1">
      <alignment horizontal="left" shrinkToFit="0" vertical="top" wrapText="1"/>
    </xf>
    <xf borderId="3" fillId="0" fontId="3" numFmtId="0" xfId="0" applyAlignment="1" applyBorder="1" applyFont="1">
      <alignment readingOrder="0" vertical="top"/>
    </xf>
    <xf borderId="5" fillId="8" fontId="3" numFmtId="0" xfId="0" applyAlignment="1" applyBorder="1" applyFont="1">
      <alignment horizontal="center" readingOrder="0" shrinkToFit="0" vertical="top" wrapText="1"/>
    </xf>
    <xf borderId="6" fillId="0" fontId="4" numFmtId="0" xfId="0" applyBorder="1" applyFont="1"/>
    <xf borderId="0" fillId="12" fontId="3" numFmtId="0" xfId="0" applyAlignment="1" applyFill="1" applyFont="1">
      <alignment readingOrder="0"/>
    </xf>
    <xf borderId="0" fillId="11" fontId="3"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horizontal="left" readingOrder="0" shrinkToFit="0" vertical="top" wrapText="1"/>
    </xf>
    <xf borderId="0" fillId="13" fontId="3" numFmtId="0" xfId="0" applyAlignment="1" applyFill="1" applyFont="1">
      <alignment horizontal="left" readingOrder="0"/>
    </xf>
    <xf borderId="5" fillId="0" fontId="3" numFmtId="0" xfId="0" applyAlignment="1" applyBorder="1" applyFont="1">
      <alignment shrinkToFit="0" vertical="top" wrapText="1"/>
    </xf>
    <xf borderId="0" fillId="13" fontId="3" numFmtId="0" xfId="0" applyAlignment="1" applyFont="1">
      <alignment horizontal="left"/>
    </xf>
    <xf borderId="0" fillId="8" fontId="3" numFmtId="0" xfId="0" applyAlignment="1" applyFont="1">
      <alignment readingOrder="0" vertical="top"/>
    </xf>
    <xf borderId="0" fillId="2" fontId="3" numFmtId="10" xfId="0" applyAlignment="1" applyFont="1" applyNumberFormat="1">
      <alignment horizontal="left" readingOrder="0"/>
    </xf>
    <xf borderId="0" fillId="2" fontId="3" numFmtId="9" xfId="0" applyAlignment="1" applyFont="1" applyNumberFormat="1">
      <alignment horizontal="left" readingOrder="0"/>
    </xf>
    <xf borderId="5" fillId="0" fontId="3" numFmtId="0" xfId="0" applyAlignment="1" applyBorder="1" applyFont="1">
      <alignment horizontal="center" readingOrder="0" shrinkToFit="0" vertical="top" wrapText="1"/>
    </xf>
    <xf borderId="7" fillId="0" fontId="3" numFmtId="0" xfId="0" applyAlignment="1" applyBorder="1" applyFont="1">
      <alignment readingOrder="0" shrinkToFit="0" vertical="top" wrapText="1"/>
    </xf>
    <xf borderId="8" fillId="0" fontId="4" numFmtId="0" xfId="0" applyBorder="1" applyFont="1"/>
    <xf borderId="0" fillId="9" fontId="3" numFmtId="0" xfId="0" applyAlignment="1" applyFont="1">
      <alignment readingOrder="0" vertical="top"/>
    </xf>
    <xf borderId="0" fillId="13" fontId="3" numFmtId="10" xfId="0" applyAlignment="1" applyFont="1" applyNumberFormat="1">
      <alignment horizontal="left" readingOrder="0"/>
    </xf>
    <xf borderId="5" fillId="12" fontId="3" numFmtId="0" xfId="0" applyAlignment="1" applyBorder="1" applyFont="1">
      <alignment horizontal="center" readingOrder="0" shrinkToFit="0" vertical="top" wrapText="1"/>
    </xf>
    <xf borderId="0" fillId="13" fontId="3" numFmtId="0" xfId="0" applyAlignment="1" applyFont="1">
      <alignment horizontal="right"/>
    </xf>
    <xf borderId="0" fillId="0" fontId="3" numFmtId="0" xfId="0" applyAlignment="1" applyFont="1">
      <alignment horizontal="right"/>
    </xf>
    <xf borderId="5" fillId="0" fontId="3" numFmtId="0" xfId="0" applyAlignment="1" applyBorder="1" applyFont="1">
      <alignment readingOrder="0" shrinkToFit="0" vertical="top" wrapText="1"/>
    </xf>
    <xf borderId="0" fillId="0" fontId="3" numFmtId="9" xfId="0" applyAlignment="1" applyFont="1" applyNumberFormat="1">
      <alignment horizontal="left" readingOrder="0" shrinkToFit="0" vertical="top" wrapText="1"/>
    </xf>
    <xf borderId="0" fillId="2" fontId="3" numFmtId="0" xfId="0" applyAlignment="1" applyFont="1">
      <alignment horizontal="right" readingOrder="0"/>
    </xf>
    <xf borderId="9" fillId="11" fontId="3" numFmtId="0" xfId="0" applyAlignment="1" applyBorder="1" applyFont="1">
      <alignment horizontal="center" readingOrder="0" shrinkToFit="0" vertical="top" wrapText="1"/>
    </xf>
    <xf borderId="0" fillId="13" fontId="3" numFmtId="0" xfId="0" applyFont="1"/>
    <xf borderId="10" fillId="0" fontId="4" numFmtId="0" xfId="0" applyBorder="1" applyFont="1"/>
    <xf borderId="9" fillId="0" fontId="3" numFmtId="0" xfId="0" applyAlignment="1" applyBorder="1" applyFont="1">
      <alignment vertical="top"/>
    </xf>
    <xf borderId="0" fillId="0" fontId="3" numFmtId="0" xfId="0" applyAlignment="1" applyFont="1">
      <alignment readingOrder="0" vertical="top"/>
    </xf>
    <xf borderId="0" fillId="0" fontId="5" numFmtId="0" xfId="0" applyAlignment="1" applyFont="1">
      <alignment readingOrder="0" shrinkToFit="0" wrapText="1"/>
    </xf>
    <xf borderId="0" fillId="0" fontId="5" numFmtId="0" xfId="0" applyAlignment="1" applyFont="1">
      <alignment shrinkToFit="0" wrapText="1"/>
    </xf>
    <xf borderId="11" fillId="0" fontId="3" numFmtId="0" xfId="0" applyAlignment="1" applyBorder="1" applyFont="1">
      <alignment readingOrder="0"/>
    </xf>
    <xf borderId="11" fillId="0" fontId="3" numFmtId="0" xfId="0" applyBorder="1" applyFont="1"/>
    <xf borderId="0" fillId="12" fontId="3" numFmtId="0" xfId="0" applyAlignment="1" applyFont="1">
      <alignment readingOrder="0" vertical="top"/>
    </xf>
    <xf borderId="0" fillId="0" fontId="3" numFmtId="3" xfId="0" applyAlignment="1" applyFont="1" applyNumberFormat="1">
      <alignment readingOrder="0"/>
    </xf>
    <xf borderId="11" fillId="0" fontId="4" numFmtId="0" xfId="0" applyBorder="1" applyFont="1"/>
    <xf borderId="0" fillId="0" fontId="3" numFmtId="10" xfId="0" applyAlignment="1" applyFont="1" applyNumberFormat="1">
      <alignment readingOrder="0"/>
    </xf>
    <xf borderId="0" fillId="0" fontId="3" numFmtId="10" xfId="0" applyFont="1" applyNumberFormat="1"/>
    <xf borderId="0" fillId="0" fontId="1" numFmtId="0" xfId="0" applyAlignment="1" applyFont="1">
      <alignment horizontal="left" readingOrder="0" vertical="top"/>
    </xf>
    <xf borderId="0" fillId="3" fontId="1" numFmtId="0" xfId="0" applyAlignment="1" applyFont="1">
      <alignment horizontal="left" readingOrder="0" vertical="top"/>
    </xf>
    <xf borderId="0" fillId="4" fontId="1" numFmtId="0" xfId="0" applyAlignment="1" applyFont="1">
      <alignment horizontal="left" readingOrder="0" vertical="top"/>
    </xf>
    <xf borderId="0" fillId="5" fontId="1" numFmtId="0" xfId="0" applyAlignment="1" applyFont="1">
      <alignment horizontal="left" readingOrder="0" vertical="top"/>
    </xf>
    <xf borderId="0" fillId="7" fontId="1" numFmtId="0" xfId="0" applyAlignment="1" applyFont="1">
      <alignment horizontal="left" readingOrder="0" vertical="top"/>
    </xf>
    <xf borderId="0" fillId="8" fontId="1" numFmtId="0" xfId="0" applyAlignment="1" applyFont="1">
      <alignment horizontal="left" readingOrder="0" vertical="top"/>
    </xf>
    <xf borderId="0" fillId="9" fontId="3" numFmtId="0" xfId="0" applyAlignment="1" applyFont="1">
      <alignment horizontal="left" readingOrder="0" shrinkToFit="0" vertical="top" wrapText="1"/>
    </xf>
    <xf borderId="0" fillId="2" fontId="3" numFmtId="0" xfId="0" applyAlignment="1" applyFont="1">
      <alignment horizontal="left" readingOrder="0" vertical="top"/>
    </xf>
    <xf borderId="0" fillId="11" fontId="3" numFmtId="0" xfId="0" applyAlignment="1" applyFont="1">
      <alignment horizontal="left" readingOrder="0" shrinkToFit="0" vertical="top" wrapText="1"/>
    </xf>
    <xf borderId="0" fillId="8" fontId="3" numFmtId="0" xfId="0" applyAlignment="1" applyFont="1">
      <alignment horizontal="left" readingOrder="0" shrinkToFit="0" vertical="top" wrapText="1"/>
    </xf>
    <xf borderId="0" fillId="0" fontId="3" numFmtId="0" xfId="0" applyAlignment="1" applyFont="1">
      <alignment horizontal="left" vertical="top"/>
    </xf>
    <xf borderId="0" fillId="0" fontId="3" numFmtId="0" xfId="0" applyAlignment="1" applyFont="1">
      <alignment horizontal="left" readingOrder="0" vertical="top"/>
    </xf>
    <xf borderId="0" fillId="13" fontId="3" numFmtId="0" xfId="0" applyAlignment="1" applyFont="1">
      <alignment horizontal="left" vertical="top"/>
    </xf>
    <xf borderId="0" fillId="13" fontId="3" numFmtId="10" xfId="0" applyAlignment="1" applyFont="1" applyNumberFormat="1">
      <alignment horizontal="left" readingOrder="0" vertical="top"/>
    </xf>
    <xf borderId="0" fillId="2" fontId="3" numFmtId="0" xfId="0" applyAlignment="1" applyFont="1">
      <alignment horizontal="left" readingOrder="0" shrinkToFit="0" vertical="top" wrapText="1"/>
    </xf>
    <xf borderId="0" fillId="12" fontId="3" numFmtId="0" xfId="0" applyAlignment="1" applyFont="1">
      <alignment horizontal="left" readingOrder="0" shrinkToFit="0" vertical="top" wrapText="1"/>
    </xf>
    <xf borderId="0" fillId="12" fontId="3" numFmtId="0" xfId="0" applyAlignment="1" applyFont="1">
      <alignment readingOrder="0" shrinkToFit="0" wrapText="1"/>
    </xf>
    <xf borderId="0" fillId="0" fontId="3" numFmtId="164" xfId="0" applyFont="1" applyNumberFormat="1"/>
    <xf borderId="0" fillId="0" fontId="3" numFmtId="3" xfId="0" applyAlignment="1" applyFont="1" applyNumberFormat="1">
      <alignment horizontal="right"/>
    </xf>
    <xf borderId="0" fillId="0" fontId="3" numFmtId="3" xfId="0" applyFont="1" applyNumberFormat="1"/>
    <xf borderId="0" fillId="0" fontId="3" numFmtId="3" xfId="0" applyAlignment="1" applyFont="1" applyNumberFormat="1">
      <alignment horizontal="right" readingOrder="0"/>
    </xf>
    <xf borderId="0" fillId="0" fontId="3" numFmtId="164" xfId="0" applyAlignment="1" applyFont="1" applyNumberFormat="1">
      <alignment readingOrder="0"/>
    </xf>
    <xf borderId="0" fillId="2" fontId="3" numFmtId="3" xfId="0" applyAlignment="1" applyFont="1" applyNumberFormat="1">
      <alignment horizontal="right" readingOrder="0"/>
    </xf>
    <xf borderId="0" fillId="2" fontId="3" numFmtId="0" xfId="0" applyFont="1"/>
    <xf borderId="0" fillId="0" fontId="3" numFmtId="165" xfId="0" applyAlignment="1" applyFont="1" applyNumberFormat="1">
      <alignment readingOrder="0"/>
    </xf>
    <xf borderId="0" fillId="2" fontId="3" numFmtId="165" xfId="0" applyAlignment="1" applyFont="1" applyNumberFormat="1">
      <alignment readingOrder="0"/>
    </xf>
    <xf borderId="0" fillId="0" fontId="3" numFmtId="165" xfId="0" applyFont="1" applyNumberFormat="1"/>
    <xf borderId="0" fillId="0" fontId="3" numFmtId="0" xfId="0" applyFont="1"/>
    <xf borderId="0" fillId="9" fontId="3" numFmtId="165" xfId="0" applyFont="1" applyNumberFormat="1"/>
    <xf borderId="0" fillId="2" fontId="3" numFmtId="165" xfId="0" applyFont="1" applyNumberFormat="1"/>
    <xf borderId="0" fillId="14" fontId="3" numFmtId="165" xfId="0" applyFill="1" applyFont="1" applyNumberFormat="1"/>
    <xf borderId="0" fillId="0" fontId="3" numFmtId="3" xfId="0" applyAlignment="1" applyFont="1" applyNumberFormat="1">
      <alignment horizontal="center" readingOrder="0"/>
    </xf>
    <xf borderId="0" fillId="2" fontId="3" numFmtId="164" xfId="0" applyAlignment="1" applyFont="1" applyNumberFormat="1">
      <alignment readingOrder="0"/>
    </xf>
    <xf borderId="0" fillId="2" fontId="3" numFmtId="164" xfId="0" applyFont="1" applyNumberFormat="1"/>
    <xf borderId="0" fillId="9" fontId="3" numFmtId="3" xfId="0" applyAlignment="1" applyFont="1" applyNumberFormat="1">
      <alignment readingOrder="0"/>
    </xf>
    <xf borderId="0" fillId="14" fontId="3" numFmtId="165" xfId="0" applyAlignment="1" applyFont="1" applyNumberFormat="1">
      <alignment readingOrder="0"/>
    </xf>
    <xf borderId="0" fillId="15" fontId="3" numFmtId="165" xfId="0" applyFill="1" applyFont="1" applyNumberFormat="1"/>
    <xf borderId="0" fillId="16" fontId="3" numFmtId="165" xfId="0" applyFill="1" applyFont="1" applyNumberFormat="1"/>
    <xf borderId="0" fillId="2" fontId="6" numFmtId="3" xfId="0" applyAlignment="1" applyFont="1" applyNumberFormat="1">
      <alignment horizontal="right" vertical="bottom"/>
    </xf>
    <xf borderId="0" fillId="2" fontId="3" numFmtId="4" xfId="0" applyFont="1" applyNumberFormat="1"/>
    <xf borderId="0" fillId="0" fontId="6" numFmtId="3" xfId="0" applyAlignment="1" applyFont="1" applyNumberFormat="1">
      <alignment horizontal="right" vertical="bottom"/>
    </xf>
    <xf borderId="0" fillId="2" fontId="3" numFmtId="3" xfId="0" applyAlignment="1" applyFont="1" applyNumberFormat="1">
      <alignment readingOrder="0"/>
    </xf>
    <xf borderId="0" fillId="8" fontId="3"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5" max="5" width="36.0"/>
  </cols>
  <sheetData>
    <row r="1">
      <c r="A1" s="1" t="s">
        <v>0</v>
      </c>
    </row>
    <row r="2">
      <c r="A2" s="4" t="s">
        <v>3</v>
      </c>
    </row>
    <row r="4">
      <c r="A4" s="6" t="s">
        <v>6</v>
      </c>
    </row>
    <row r="5">
      <c r="A5" s="8" t="s">
        <v>8</v>
      </c>
    </row>
    <row r="6">
      <c r="A6" s="4" t="s">
        <v>10</v>
      </c>
      <c r="I6" s="4"/>
    </row>
    <row r="7">
      <c r="A7" s="4" t="s">
        <v>12</v>
      </c>
    </row>
    <row r="8">
      <c r="A8" s="4"/>
    </row>
    <row r="9">
      <c r="A9" s="12" t="s">
        <v>14</v>
      </c>
    </row>
    <row r="10">
      <c r="A10" s="6" t="s">
        <v>16</v>
      </c>
    </row>
    <row r="12">
      <c r="A12" s="6" t="s">
        <v>18</v>
      </c>
    </row>
    <row r="15">
      <c r="B15" s="23" t="s">
        <v>22</v>
      </c>
      <c r="C15" s="24"/>
      <c r="E15" s="25" t="s">
        <v>32</v>
      </c>
      <c r="F15" s="24"/>
    </row>
    <row r="16">
      <c r="B16" s="27" t="s">
        <v>35</v>
      </c>
      <c r="C16" s="28"/>
      <c r="E16" s="32" t="s">
        <v>39</v>
      </c>
      <c r="F16" s="28"/>
    </row>
    <row r="17">
      <c r="B17" s="33" t="s">
        <v>43</v>
      </c>
      <c r="C17" s="34"/>
      <c r="E17" s="40" t="str">
        <f>"+ = Substats marked with + are the same as the module base stat, which may lead to severe diminished returns at higher module levels. Conversely, very strong at lower levels"</f>
        <v>+ = Substats marked with + are the same as the module base stat, which may lead to severe diminished returns at higher module levels. Conversely, very strong at lower levels</v>
      </c>
      <c r="F17" s="34"/>
    </row>
    <row r="18">
      <c r="B18" s="45" t="s">
        <v>70</v>
      </c>
      <c r="C18" s="34"/>
      <c r="E18" s="46" t="s">
        <v>80</v>
      </c>
      <c r="F18" s="47"/>
    </row>
    <row r="19">
      <c r="B19" s="50" t="s">
        <v>87</v>
      </c>
      <c r="C19" s="34"/>
      <c r="E19" s="53" t="s">
        <v>97</v>
      </c>
      <c r="F19" s="34"/>
    </row>
    <row r="20">
      <c r="B20" s="56" t="s">
        <v>101</v>
      </c>
      <c r="C20" s="58"/>
      <c r="E20" s="59"/>
      <c r="F20" s="58"/>
    </row>
    <row r="22">
      <c r="A22" s="4" t="s">
        <v>110</v>
      </c>
    </row>
    <row r="23">
      <c r="A23" s="4" t="s">
        <v>112</v>
      </c>
      <c r="B23" s="4" t="s">
        <v>113</v>
      </c>
      <c r="C23" s="4"/>
    </row>
    <row r="24">
      <c r="A24" s="4" t="s">
        <v>115</v>
      </c>
      <c r="B24" s="4" t="s">
        <v>117</v>
      </c>
    </row>
    <row r="25">
      <c r="A25" s="4" t="s">
        <v>122</v>
      </c>
      <c r="B25" s="4" t="s">
        <v>123</v>
      </c>
    </row>
    <row r="26">
      <c r="A26" s="4" t="s">
        <v>125</v>
      </c>
      <c r="B26" s="4" t="s">
        <v>126</v>
      </c>
      <c r="C26" s="4"/>
    </row>
    <row r="28">
      <c r="B28" s="4" t="s">
        <v>129</v>
      </c>
      <c r="C28" s="4" t="s">
        <v>131</v>
      </c>
      <c r="D28" s="4" t="s">
        <v>133</v>
      </c>
    </row>
    <row r="29">
      <c r="A29" s="4" t="s">
        <v>139</v>
      </c>
      <c r="B29" s="4" t="s">
        <v>141</v>
      </c>
    </row>
    <row r="30">
      <c r="A30" s="63" t="s">
        <v>11</v>
      </c>
      <c r="B30" s="64"/>
      <c r="C30" s="63" t="s">
        <v>147</v>
      </c>
    </row>
    <row r="31">
      <c r="A31" s="4"/>
      <c r="B31" s="4" t="s">
        <v>153</v>
      </c>
      <c r="C31" s="4"/>
      <c r="D31" s="4" t="s">
        <v>155</v>
      </c>
    </row>
    <row r="32">
      <c r="A32" s="4"/>
      <c r="C32" s="4"/>
    </row>
    <row r="33">
      <c r="A33" s="4" t="s">
        <v>157</v>
      </c>
      <c r="B33" s="4" t="s">
        <v>159</v>
      </c>
    </row>
    <row r="34">
      <c r="A34" s="4" t="s">
        <v>162</v>
      </c>
      <c r="C34" s="4" t="s">
        <v>164</v>
      </c>
    </row>
    <row r="35">
      <c r="A35" s="63" t="s">
        <v>167</v>
      </c>
      <c r="B35" s="63" t="s">
        <v>170</v>
      </c>
      <c r="C35" s="64"/>
    </row>
    <row r="36">
      <c r="A36" s="4" t="s">
        <v>171</v>
      </c>
      <c r="B36" s="4" t="s">
        <v>172</v>
      </c>
      <c r="C36" s="4" t="s">
        <v>173</v>
      </c>
      <c r="D36" s="4" t="s">
        <v>174</v>
      </c>
    </row>
    <row r="37">
      <c r="A37" s="4"/>
      <c r="B37" s="4"/>
    </row>
    <row r="38">
      <c r="A38" s="4" t="s">
        <v>15</v>
      </c>
      <c r="C38" s="4" t="s">
        <v>175</v>
      </c>
    </row>
    <row r="39">
      <c r="A39" s="4" t="s">
        <v>178</v>
      </c>
      <c r="C39" s="4" t="s">
        <v>175</v>
      </c>
    </row>
    <row r="40">
      <c r="A40" s="63" t="s">
        <v>17</v>
      </c>
      <c r="B40" s="63" t="s">
        <v>164</v>
      </c>
      <c r="C40" s="64"/>
    </row>
    <row r="41">
      <c r="A41" s="4" t="s">
        <v>182</v>
      </c>
      <c r="B41" s="4" t="s">
        <v>183</v>
      </c>
      <c r="C41" s="4" t="s">
        <v>184</v>
      </c>
    </row>
    <row r="43">
      <c r="A43" s="63" t="s">
        <v>185</v>
      </c>
      <c r="B43" s="64"/>
      <c r="C43" s="64"/>
    </row>
    <row r="44">
      <c r="A44" s="4">
        <v>0.0</v>
      </c>
      <c r="B44" s="4">
        <v>10.0</v>
      </c>
    </row>
    <row r="45">
      <c r="A45" s="4">
        <v>1.0</v>
      </c>
      <c r="B45" s="4">
        <v>40.0</v>
      </c>
    </row>
    <row r="46">
      <c r="A46" s="4">
        <v>2.0</v>
      </c>
      <c r="B46" s="4">
        <v>160.0</v>
      </c>
    </row>
    <row r="47">
      <c r="A47" s="4">
        <v>3.0</v>
      </c>
      <c r="B47" s="4">
        <v>500.0</v>
      </c>
    </row>
    <row r="48">
      <c r="A48" s="4">
        <v>4.0</v>
      </c>
      <c r="B48" s="66">
        <v>1000.0</v>
      </c>
    </row>
    <row r="49">
      <c r="A49" s="4">
        <v>5.0</v>
      </c>
      <c r="B49" s="66">
        <v>1600.0</v>
      </c>
    </row>
    <row r="51">
      <c r="A51" s="63" t="s">
        <v>187</v>
      </c>
      <c r="B51" s="67"/>
      <c r="C51" s="67"/>
    </row>
    <row r="52">
      <c r="A52" s="4" t="s">
        <v>7</v>
      </c>
      <c r="B52" s="68">
        <v>0.462</v>
      </c>
    </row>
    <row r="53">
      <c r="A53" s="4" t="s">
        <v>9</v>
      </c>
      <c r="B53" s="68">
        <v>0.4</v>
      </c>
    </row>
    <row r="54">
      <c r="A54" s="4" t="s">
        <v>11</v>
      </c>
      <c r="B54" s="68">
        <v>0.1</v>
      </c>
    </row>
    <row r="55">
      <c r="A55" s="4" t="s">
        <v>13</v>
      </c>
      <c r="B55" s="68">
        <v>0.025</v>
      </c>
    </row>
    <row r="56">
      <c r="A56" s="4" t="s">
        <v>15</v>
      </c>
      <c r="B56" s="68">
        <v>0.01</v>
      </c>
    </row>
    <row r="57">
      <c r="A57" s="4" t="s">
        <v>17</v>
      </c>
      <c r="B57" s="68">
        <v>0.003</v>
      </c>
    </row>
    <row r="58">
      <c r="A58" s="4" t="s">
        <v>194</v>
      </c>
      <c r="B58" s="69">
        <f>SUM(B51:B57)</f>
        <v>1</v>
      </c>
    </row>
  </sheetData>
  <mergeCells count="19">
    <mergeCell ref="A4:I4"/>
    <mergeCell ref="A5:C5"/>
    <mergeCell ref="A6:H6"/>
    <mergeCell ref="A7:I7"/>
    <mergeCell ref="A10:I10"/>
    <mergeCell ref="A12:I12"/>
    <mergeCell ref="E15:F15"/>
    <mergeCell ref="E18:F18"/>
    <mergeCell ref="E19:F19"/>
    <mergeCell ref="B20:C20"/>
    <mergeCell ref="E20:F20"/>
    <mergeCell ref="A51:C51"/>
    <mergeCell ref="B15:C15"/>
    <mergeCell ref="B16:C16"/>
    <mergeCell ref="E16:F16"/>
    <mergeCell ref="B17:C17"/>
    <mergeCell ref="E17:F17"/>
    <mergeCell ref="B18:C18"/>
    <mergeCell ref="B19:C1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75"/>
    <col customWidth="1" min="2" max="2" width="80.25"/>
    <col customWidth="1" min="3" max="3" width="41.75"/>
    <col customWidth="1" min="4" max="4" width="43.63"/>
    <col customWidth="1" min="5" max="5" width="43.13"/>
  </cols>
  <sheetData>
    <row r="1">
      <c r="A1" s="2" t="s">
        <v>1</v>
      </c>
      <c r="B1" s="2" t="s">
        <v>4</v>
      </c>
      <c r="F1" s="5"/>
      <c r="G1" s="5"/>
      <c r="H1" s="5"/>
      <c r="I1" s="5"/>
      <c r="J1" s="5"/>
      <c r="K1" s="5"/>
      <c r="L1" s="5"/>
      <c r="M1" s="5"/>
      <c r="N1" s="5"/>
      <c r="O1" s="5"/>
      <c r="P1" s="5"/>
      <c r="Q1" s="5"/>
      <c r="R1" s="5"/>
      <c r="S1" s="5"/>
      <c r="T1" s="5"/>
      <c r="U1" s="5"/>
      <c r="V1" s="5"/>
      <c r="W1" s="5"/>
      <c r="X1" s="5"/>
      <c r="Y1" s="5"/>
      <c r="Z1" s="5"/>
    </row>
    <row r="2">
      <c r="A2" s="14" t="s">
        <v>5</v>
      </c>
      <c r="B2" s="16" t="s">
        <v>19</v>
      </c>
      <c r="C2" s="18" t="s">
        <v>21</v>
      </c>
      <c r="D2" s="20" t="s">
        <v>24</v>
      </c>
      <c r="E2" s="22" t="s">
        <v>17</v>
      </c>
      <c r="F2" s="5"/>
      <c r="G2" s="5"/>
      <c r="H2" s="5"/>
      <c r="I2" s="5"/>
      <c r="J2" s="5"/>
      <c r="K2" s="5"/>
      <c r="L2" s="5"/>
      <c r="M2" s="5"/>
      <c r="N2" s="5"/>
      <c r="O2" s="5"/>
      <c r="P2" s="5"/>
      <c r="Q2" s="5"/>
      <c r="R2" s="5"/>
      <c r="S2" s="5"/>
      <c r="T2" s="5"/>
      <c r="U2" s="5"/>
      <c r="V2" s="5"/>
      <c r="W2" s="5"/>
      <c r="X2" s="5"/>
      <c r="Y2" s="5"/>
      <c r="Z2" s="5"/>
    </row>
    <row r="3">
      <c r="A3" s="14" t="s">
        <v>38</v>
      </c>
      <c r="B3" s="29"/>
      <c r="C3" s="31"/>
      <c r="D3" s="31"/>
      <c r="E3" s="31"/>
      <c r="F3" s="5"/>
      <c r="G3" s="5"/>
      <c r="H3" s="5"/>
      <c r="I3" s="5"/>
      <c r="J3" s="5"/>
      <c r="K3" s="5"/>
      <c r="L3" s="5"/>
      <c r="M3" s="5"/>
      <c r="N3" s="5"/>
      <c r="O3" s="5"/>
      <c r="P3" s="5"/>
      <c r="Q3" s="5"/>
      <c r="R3" s="5"/>
      <c r="S3" s="5"/>
      <c r="T3" s="5"/>
      <c r="U3" s="5"/>
      <c r="V3" s="5"/>
      <c r="W3" s="5"/>
      <c r="X3" s="5"/>
      <c r="Y3" s="5"/>
      <c r="Z3" s="5"/>
    </row>
    <row r="4">
      <c r="A4" s="36" t="s">
        <v>50</v>
      </c>
      <c r="B4" s="37" t="s">
        <v>52</v>
      </c>
      <c r="C4" s="38" t="s">
        <v>54</v>
      </c>
      <c r="D4" s="38" t="s">
        <v>55</v>
      </c>
      <c r="E4" s="38" t="s">
        <v>56</v>
      </c>
      <c r="F4" s="5"/>
      <c r="G4" s="5"/>
      <c r="H4" s="5"/>
      <c r="I4" s="5"/>
      <c r="J4" s="5"/>
      <c r="K4" s="5"/>
      <c r="L4" s="5"/>
      <c r="M4" s="5"/>
      <c r="N4" s="5"/>
      <c r="O4" s="5"/>
      <c r="P4" s="5"/>
      <c r="Q4" s="5"/>
      <c r="R4" s="5"/>
      <c r="S4" s="5"/>
      <c r="T4" s="5"/>
      <c r="U4" s="5"/>
      <c r="V4" s="5"/>
      <c r="W4" s="5"/>
      <c r="X4" s="5"/>
      <c r="Y4" s="5"/>
      <c r="Z4" s="5"/>
    </row>
    <row r="5" ht="30.75" customHeight="1">
      <c r="A5" s="42" t="s">
        <v>67</v>
      </c>
      <c r="B5" s="37" t="s">
        <v>68</v>
      </c>
      <c r="C5" s="38" t="s">
        <v>69</v>
      </c>
      <c r="D5" s="38" t="s">
        <v>71</v>
      </c>
      <c r="E5" s="38" t="s">
        <v>73</v>
      </c>
      <c r="F5" s="5"/>
      <c r="G5" s="5"/>
      <c r="H5" s="5"/>
      <c r="I5" s="5"/>
      <c r="J5" s="5"/>
      <c r="K5" s="5"/>
      <c r="L5" s="5"/>
      <c r="M5" s="5"/>
      <c r="N5" s="5"/>
      <c r="O5" s="5"/>
      <c r="P5" s="5"/>
      <c r="Q5" s="5"/>
      <c r="R5" s="5"/>
      <c r="S5" s="5"/>
      <c r="T5" s="5"/>
      <c r="U5" s="5"/>
      <c r="V5" s="5"/>
      <c r="W5" s="5"/>
      <c r="X5" s="5"/>
      <c r="Y5" s="5"/>
      <c r="Z5" s="5"/>
    </row>
    <row r="6">
      <c r="A6" s="48" t="s">
        <v>84</v>
      </c>
      <c r="B6" s="37" t="s">
        <v>86</v>
      </c>
      <c r="C6" s="38" t="s">
        <v>89</v>
      </c>
      <c r="D6" s="38" t="s">
        <v>91</v>
      </c>
      <c r="E6" s="38" t="s">
        <v>93</v>
      </c>
      <c r="F6" s="5"/>
      <c r="G6" s="5"/>
      <c r="H6" s="5"/>
      <c r="I6" s="5"/>
      <c r="J6" s="5"/>
      <c r="K6" s="5"/>
      <c r="L6" s="5"/>
      <c r="M6" s="5"/>
      <c r="N6" s="5"/>
      <c r="O6" s="5"/>
      <c r="P6" s="5"/>
      <c r="Q6" s="5"/>
      <c r="R6" s="5"/>
      <c r="S6" s="5"/>
      <c r="T6" s="5"/>
      <c r="U6" s="5"/>
      <c r="V6" s="5"/>
      <c r="W6" s="5"/>
      <c r="X6" s="5"/>
      <c r="Y6" s="5"/>
      <c r="Z6" s="5"/>
    </row>
    <row r="7">
      <c r="A7" s="36" t="s">
        <v>98</v>
      </c>
      <c r="B7" s="37" t="s">
        <v>100</v>
      </c>
      <c r="C7" s="54">
        <v>-0.25</v>
      </c>
      <c r="D7" s="54">
        <v>-0.35</v>
      </c>
      <c r="E7" s="54">
        <v>-0.5</v>
      </c>
      <c r="F7" s="5"/>
      <c r="G7" s="5"/>
      <c r="H7" s="5"/>
      <c r="I7" s="5"/>
      <c r="J7" s="5"/>
      <c r="K7" s="5"/>
      <c r="L7" s="5"/>
      <c r="M7" s="5"/>
      <c r="N7" s="5"/>
      <c r="O7" s="5"/>
      <c r="P7" s="5"/>
      <c r="Q7" s="5"/>
      <c r="R7" s="5"/>
      <c r="S7" s="5"/>
      <c r="T7" s="5"/>
      <c r="U7" s="5"/>
      <c r="V7" s="5"/>
      <c r="W7" s="5"/>
      <c r="X7" s="5"/>
      <c r="Y7" s="5"/>
      <c r="Z7" s="5"/>
    </row>
    <row r="8">
      <c r="A8" s="60"/>
      <c r="B8" s="29"/>
      <c r="C8" s="31"/>
      <c r="D8" s="31"/>
      <c r="E8" s="31"/>
      <c r="F8" s="5"/>
      <c r="G8" s="5"/>
      <c r="H8" s="5"/>
      <c r="I8" s="5"/>
      <c r="J8" s="5"/>
      <c r="K8" s="5"/>
      <c r="L8" s="5"/>
      <c r="M8" s="5"/>
      <c r="N8" s="5"/>
      <c r="O8" s="5"/>
      <c r="P8" s="5"/>
      <c r="Q8" s="5"/>
      <c r="R8" s="5"/>
      <c r="S8" s="5"/>
      <c r="T8" s="5"/>
      <c r="U8" s="5"/>
      <c r="V8" s="5"/>
      <c r="W8" s="5"/>
      <c r="X8" s="5"/>
      <c r="Y8" s="5"/>
      <c r="Z8" s="5"/>
    </row>
    <row r="9">
      <c r="A9" s="14" t="s">
        <v>119</v>
      </c>
      <c r="B9" s="29"/>
      <c r="C9" s="31"/>
      <c r="D9" s="31"/>
      <c r="E9" s="31"/>
      <c r="F9" s="5"/>
      <c r="G9" s="5"/>
      <c r="H9" s="5"/>
      <c r="I9" s="5"/>
      <c r="J9" s="5"/>
      <c r="K9" s="5"/>
      <c r="L9" s="5"/>
      <c r="M9" s="5"/>
      <c r="N9" s="5"/>
      <c r="O9" s="5"/>
      <c r="P9" s="5"/>
      <c r="Q9" s="5"/>
      <c r="R9" s="5"/>
      <c r="S9" s="5"/>
      <c r="T9" s="5"/>
      <c r="U9" s="5"/>
      <c r="V9" s="5"/>
      <c r="W9" s="5"/>
      <c r="X9" s="5"/>
      <c r="Y9" s="5"/>
      <c r="Z9" s="5"/>
    </row>
    <row r="10">
      <c r="A10" s="60" t="s">
        <v>132</v>
      </c>
      <c r="B10" s="37" t="s">
        <v>134</v>
      </c>
      <c r="C10" s="38" t="s">
        <v>135</v>
      </c>
      <c r="D10" s="38" t="s">
        <v>137</v>
      </c>
      <c r="E10" s="38" t="s">
        <v>138</v>
      </c>
      <c r="F10" s="5"/>
      <c r="G10" s="5"/>
      <c r="H10" s="5"/>
      <c r="I10" s="5"/>
      <c r="J10" s="5"/>
      <c r="K10" s="5"/>
      <c r="L10" s="5"/>
      <c r="M10" s="5"/>
      <c r="N10" s="5"/>
      <c r="O10" s="5"/>
      <c r="P10" s="5"/>
      <c r="Q10" s="5"/>
      <c r="R10" s="5"/>
      <c r="S10" s="5"/>
      <c r="T10" s="5"/>
      <c r="U10" s="5"/>
      <c r="V10" s="5"/>
      <c r="W10" s="5"/>
      <c r="X10" s="5"/>
      <c r="Y10" s="5"/>
      <c r="Z10" s="5"/>
    </row>
    <row r="11">
      <c r="A11" s="65" t="s">
        <v>146</v>
      </c>
      <c r="B11" s="37" t="s">
        <v>149</v>
      </c>
      <c r="C11" s="38" t="s">
        <v>150</v>
      </c>
      <c r="D11" s="38" t="s">
        <v>152</v>
      </c>
      <c r="E11" s="38" t="s">
        <v>154</v>
      </c>
      <c r="F11" s="5"/>
      <c r="G11" s="5"/>
      <c r="H11" s="5"/>
      <c r="I11" s="5"/>
      <c r="J11" s="5"/>
      <c r="K11" s="5"/>
      <c r="L11" s="5"/>
      <c r="M11" s="5"/>
      <c r="N11" s="5"/>
      <c r="O11" s="5"/>
      <c r="P11" s="5"/>
      <c r="Q11" s="5"/>
      <c r="R11" s="5"/>
      <c r="S11" s="5"/>
      <c r="T11" s="5"/>
      <c r="U11" s="5"/>
      <c r="V11" s="5"/>
      <c r="W11" s="5"/>
      <c r="X11" s="5"/>
      <c r="Y11" s="5"/>
      <c r="Z11" s="5"/>
    </row>
    <row r="12">
      <c r="A12" s="42" t="s">
        <v>163</v>
      </c>
      <c r="B12" s="37" t="s">
        <v>165</v>
      </c>
      <c r="C12" s="38" t="s">
        <v>166</v>
      </c>
      <c r="D12" s="38" t="s">
        <v>168</v>
      </c>
      <c r="E12" s="38" t="s">
        <v>169</v>
      </c>
      <c r="F12" s="5"/>
      <c r="G12" s="5"/>
      <c r="H12" s="5"/>
      <c r="I12" s="5"/>
      <c r="J12" s="5"/>
      <c r="K12" s="5"/>
      <c r="L12" s="5"/>
      <c r="M12" s="5"/>
      <c r="N12" s="5"/>
      <c r="O12" s="5"/>
      <c r="P12" s="5"/>
      <c r="Q12" s="5"/>
      <c r="R12" s="5"/>
      <c r="S12" s="5"/>
      <c r="T12" s="5"/>
      <c r="U12" s="5"/>
      <c r="V12" s="5"/>
      <c r="W12" s="5"/>
      <c r="X12" s="5"/>
      <c r="Y12" s="5"/>
      <c r="Z12" s="5"/>
    </row>
    <row r="13">
      <c r="A13" s="42" t="s">
        <v>176</v>
      </c>
      <c r="B13" s="37" t="s">
        <v>177</v>
      </c>
      <c r="C13" s="38" t="s">
        <v>179</v>
      </c>
      <c r="D13" s="38" t="s">
        <v>180</v>
      </c>
      <c r="E13" s="38" t="s">
        <v>181</v>
      </c>
      <c r="F13" s="5"/>
      <c r="G13" s="5"/>
      <c r="H13" s="5"/>
      <c r="I13" s="5"/>
      <c r="J13" s="5"/>
      <c r="K13" s="5"/>
      <c r="L13" s="5"/>
      <c r="M13" s="5"/>
      <c r="N13" s="5"/>
      <c r="O13" s="5"/>
      <c r="P13" s="5"/>
      <c r="Q13" s="5"/>
      <c r="R13" s="5"/>
      <c r="S13" s="5"/>
      <c r="T13" s="5"/>
      <c r="U13" s="5"/>
      <c r="V13" s="5"/>
      <c r="W13" s="5"/>
      <c r="X13" s="5"/>
      <c r="Y13" s="5"/>
      <c r="Z13" s="5"/>
    </row>
    <row r="14">
      <c r="A14" s="5"/>
      <c r="B14" s="29"/>
      <c r="C14" s="31"/>
      <c r="D14" s="31"/>
      <c r="E14" s="31"/>
      <c r="F14" s="5"/>
      <c r="G14" s="5"/>
      <c r="H14" s="5"/>
      <c r="I14" s="5"/>
      <c r="J14" s="5"/>
      <c r="K14" s="5"/>
      <c r="L14" s="5"/>
      <c r="M14" s="5"/>
      <c r="N14" s="5"/>
      <c r="O14" s="5"/>
      <c r="P14" s="5"/>
      <c r="Q14" s="5"/>
      <c r="R14" s="5"/>
      <c r="S14" s="5"/>
      <c r="T14" s="5"/>
      <c r="U14" s="5"/>
      <c r="V14" s="5"/>
      <c r="W14" s="5"/>
      <c r="X14" s="5"/>
      <c r="Y14" s="5"/>
      <c r="Z14" s="5"/>
    </row>
    <row r="15">
      <c r="A15" s="14" t="s">
        <v>186</v>
      </c>
      <c r="B15" s="29"/>
      <c r="C15" s="31"/>
      <c r="D15" s="31"/>
      <c r="E15" s="31"/>
      <c r="F15" s="5"/>
      <c r="G15" s="5"/>
      <c r="H15" s="5"/>
      <c r="I15" s="5"/>
      <c r="J15" s="5"/>
      <c r="K15" s="5"/>
      <c r="L15" s="5"/>
      <c r="M15" s="5"/>
      <c r="N15" s="5"/>
      <c r="O15" s="5"/>
      <c r="P15" s="5"/>
      <c r="Q15" s="5"/>
      <c r="R15" s="5"/>
      <c r="S15" s="5"/>
      <c r="T15" s="5"/>
      <c r="U15" s="5"/>
      <c r="V15" s="5"/>
      <c r="W15" s="5"/>
      <c r="X15" s="5"/>
      <c r="Y15" s="5"/>
      <c r="Z15" s="5"/>
    </row>
    <row r="16">
      <c r="A16" s="42" t="s">
        <v>188</v>
      </c>
      <c r="B16" s="37" t="s">
        <v>189</v>
      </c>
      <c r="C16" s="38" t="s">
        <v>190</v>
      </c>
      <c r="D16" s="38" t="s">
        <v>191</v>
      </c>
      <c r="E16" s="38" t="s">
        <v>192</v>
      </c>
      <c r="F16" s="5"/>
      <c r="G16" s="5"/>
      <c r="H16" s="5"/>
      <c r="I16" s="5"/>
      <c r="J16" s="5"/>
      <c r="K16" s="5"/>
      <c r="L16" s="5"/>
      <c r="M16" s="5"/>
      <c r="N16" s="5"/>
      <c r="O16" s="5"/>
      <c r="P16" s="5"/>
      <c r="Q16" s="5"/>
      <c r="R16" s="5"/>
      <c r="S16" s="5"/>
      <c r="T16" s="5"/>
      <c r="U16" s="5"/>
      <c r="V16" s="5"/>
      <c r="W16" s="5"/>
      <c r="X16" s="5"/>
      <c r="Y16" s="5"/>
      <c r="Z16" s="5"/>
    </row>
    <row r="17">
      <c r="A17" s="36" t="s">
        <v>193</v>
      </c>
      <c r="B17" s="37" t="s">
        <v>195</v>
      </c>
      <c r="C17" s="38" t="s">
        <v>196</v>
      </c>
      <c r="D17" s="38" t="s">
        <v>197</v>
      </c>
      <c r="E17" s="38" t="s">
        <v>198</v>
      </c>
      <c r="F17" s="5"/>
      <c r="G17" s="5"/>
      <c r="H17" s="5"/>
      <c r="I17" s="5"/>
      <c r="J17" s="5"/>
      <c r="K17" s="5"/>
      <c r="L17" s="5"/>
      <c r="M17" s="5"/>
      <c r="N17" s="5"/>
      <c r="O17" s="5"/>
      <c r="P17" s="5"/>
      <c r="Q17" s="5"/>
      <c r="R17" s="5"/>
      <c r="S17" s="5"/>
      <c r="T17" s="5"/>
      <c r="U17" s="5"/>
      <c r="V17" s="5"/>
      <c r="W17" s="5"/>
      <c r="X17" s="5"/>
      <c r="Y17" s="5"/>
      <c r="Z17" s="5"/>
    </row>
    <row r="18">
      <c r="A18" s="60" t="s">
        <v>199</v>
      </c>
      <c r="B18" s="37" t="s">
        <v>200</v>
      </c>
      <c r="C18" s="54">
        <v>-0.35</v>
      </c>
      <c r="D18" s="54">
        <v>-0.45</v>
      </c>
      <c r="E18" s="54">
        <v>-0.55</v>
      </c>
      <c r="F18" s="5"/>
      <c r="G18" s="5"/>
      <c r="H18" s="5"/>
      <c r="I18" s="5"/>
      <c r="J18" s="5"/>
      <c r="K18" s="5"/>
      <c r="L18" s="5"/>
      <c r="M18" s="5"/>
      <c r="N18" s="5"/>
      <c r="O18" s="5"/>
      <c r="P18" s="5"/>
      <c r="Q18" s="5"/>
      <c r="R18" s="5"/>
      <c r="S18" s="5"/>
      <c r="T18" s="5"/>
      <c r="U18" s="5"/>
      <c r="V18" s="5"/>
      <c r="W18" s="5"/>
      <c r="X18" s="5"/>
      <c r="Y18" s="5"/>
      <c r="Z18" s="5"/>
    </row>
    <row r="19">
      <c r="A19" s="48" t="s">
        <v>201</v>
      </c>
      <c r="B19" s="37" t="s">
        <v>202</v>
      </c>
      <c r="C19" s="54">
        <v>-0.15</v>
      </c>
      <c r="D19" s="54">
        <v>-0.2</v>
      </c>
      <c r="E19" s="54">
        <v>-0.3</v>
      </c>
      <c r="F19" s="5"/>
      <c r="G19" s="5"/>
      <c r="H19" s="5"/>
      <c r="I19" s="5"/>
      <c r="J19" s="5"/>
      <c r="K19" s="5"/>
      <c r="L19" s="5"/>
      <c r="M19" s="5"/>
      <c r="N19" s="5"/>
      <c r="O19" s="5"/>
      <c r="P19" s="5"/>
      <c r="Q19" s="5"/>
      <c r="R19" s="5"/>
      <c r="S19" s="5"/>
      <c r="T19" s="5"/>
      <c r="U19" s="5"/>
      <c r="V19" s="5"/>
      <c r="W19" s="5"/>
      <c r="X19" s="5"/>
      <c r="Y19" s="5"/>
      <c r="Z19" s="5"/>
    </row>
    <row r="20">
      <c r="A20" s="5"/>
      <c r="B20" s="29"/>
      <c r="C20" s="31"/>
      <c r="D20" s="31"/>
      <c r="E20" s="31"/>
      <c r="F20" s="5"/>
      <c r="G20" s="5"/>
      <c r="H20" s="5"/>
      <c r="I20" s="5"/>
      <c r="J20" s="5"/>
      <c r="K20" s="5"/>
      <c r="L20" s="5"/>
      <c r="M20" s="5"/>
      <c r="N20" s="5"/>
      <c r="O20" s="5"/>
      <c r="P20" s="5"/>
      <c r="Q20" s="5"/>
      <c r="R20" s="5"/>
      <c r="S20" s="5"/>
      <c r="T20" s="5"/>
      <c r="U20" s="5"/>
      <c r="V20" s="5"/>
      <c r="W20" s="5"/>
      <c r="X20" s="5"/>
      <c r="Y20" s="5"/>
      <c r="Z20" s="5"/>
    </row>
    <row r="21">
      <c r="A21" s="14" t="s">
        <v>203</v>
      </c>
      <c r="B21" s="29"/>
      <c r="C21" s="31"/>
      <c r="D21" s="31"/>
      <c r="E21" s="31"/>
      <c r="F21" s="5"/>
      <c r="G21" s="5"/>
      <c r="H21" s="5"/>
      <c r="I21" s="5"/>
      <c r="J21" s="5"/>
      <c r="K21" s="5"/>
      <c r="L21" s="5"/>
      <c r="M21" s="5"/>
      <c r="N21" s="5"/>
      <c r="O21" s="5"/>
      <c r="P21" s="5"/>
      <c r="Q21" s="5"/>
      <c r="R21" s="5"/>
      <c r="S21" s="5"/>
      <c r="T21" s="5"/>
      <c r="U21" s="5"/>
      <c r="V21" s="5"/>
      <c r="W21" s="5"/>
      <c r="X21" s="5"/>
      <c r="Y21" s="5"/>
      <c r="Z21" s="5"/>
    </row>
    <row r="22" ht="32.25" customHeight="1">
      <c r="A22" s="60" t="s">
        <v>204</v>
      </c>
      <c r="B22" s="37" t="s">
        <v>205</v>
      </c>
      <c r="C22" s="38" t="s">
        <v>206</v>
      </c>
      <c r="D22" s="38" t="s">
        <v>207</v>
      </c>
      <c r="E22" s="38" t="s">
        <v>208</v>
      </c>
      <c r="F22" s="5"/>
      <c r="G22" s="5"/>
      <c r="H22" s="5"/>
      <c r="I22" s="5"/>
      <c r="J22" s="5"/>
      <c r="K22" s="5"/>
      <c r="L22" s="5"/>
      <c r="M22" s="5"/>
      <c r="N22" s="5"/>
      <c r="O22" s="5"/>
      <c r="P22" s="5"/>
      <c r="Q22" s="5"/>
      <c r="R22" s="5"/>
      <c r="S22" s="5"/>
      <c r="T22" s="5"/>
      <c r="U22" s="5"/>
      <c r="V22" s="5"/>
      <c r="W22" s="5"/>
      <c r="X22" s="5"/>
      <c r="Y22" s="5"/>
      <c r="Z22" s="5"/>
    </row>
    <row r="23">
      <c r="A23" s="60" t="s">
        <v>209</v>
      </c>
      <c r="B23" s="37" t="s">
        <v>210</v>
      </c>
      <c r="C23" s="38" t="s">
        <v>211</v>
      </c>
      <c r="D23" s="38" t="s">
        <v>212</v>
      </c>
      <c r="E23" s="38" t="s">
        <v>213</v>
      </c>
      <c r="F23" s="5"/>
      <c r="G23" s="5"/>
      <c r="H23" s="5"/>
      <c r="I23" s="5"/>
      <c r="J23" s="5"/>
      <c r="K23" s="5"/>
      <c r="L23" s="5"/>
      <c r="M23" s="5"/>
      <c r="N23" s="5"/>
      <c r="O23" s="5"/>
      <c r="P23" s="5"/>
      <c r="Q23" s="5"/>
      <c r="R23" s="5"/>
      <c r="S23" s="5"/>
      <c r="T23" s="5"/>
      <c r="U23" s="5"/>
      <c r="V23" s="5"/>
      <c r="W23" s="5"/>
      <c r="X23" s="5"/>
      <c r="Y23" s="5"/>
      <c r="Z23" s="5"/>
    </row>
    <row r="24">
      <c r="A24" s="65" t="s">
        <v>214</v>
      </c>
      <c r="B24" s="37" t="s">
        <v>215</v>
      </c>
      <c r="C24" s="54">
        <v>0.06</v>
      </c>
      <c r="D24" s="54">
        <v>0.04</v>
      </c>
      <c r="E24" s="54">
        <v>0.02</v>
      </c>
      <c r="F24" s="5"/>
      <c r="G24" s="5"/>
      <c r="H24" s="5"/>
      <c r="I24" s="5"/>
      <c r="J24" s="5"/>
      <c r="K24" s="5"/>
      <c r="L24" s="5"/>
      <c r="M24" s="5"/>
      <c r="N24" s="5"/>
      <c r="O24" s="5"/>
      <c r="P24" s="5"/>
      <c r="Q24" s="5"/>
      <c r="R24" s="5"/>
      <c r="S24" s="5"/>
      <c r="T24" s="5"/>
      <c r="U24" s="5"/>
      <c r="V24" s="5"/>
      <c r="W24" s="5"/>
      <c r="X24" s="5"/>
      <c r="Y24" s="5"/>
      <c r="Z24" s="5"/>
    </row>
    <row r="25">
      <c r="A25" s="65" t="s">
        <v>216</v>
      </c>
      <c r="B25" s="37" t="s">
        <v>217</v>
      </c>
      <c r="C25" s="38" t="s">
        <v>218</v>
      </c>
      <c r="D25" s="38" t="s">
        <v>219</v>
      </c>
      <c r="E25" s="38" t="s">
        <v>220</v>
      </c>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B28" s="5"/>
      <c r="C28" s="5"/>
      <c r="D28" s="5"/>
      <c r="E28" s="5"/>
      <c r="F28" s="5"/>
      <c r="G28" s="5"/>
      <c r="H28" s="5"/>
      <c r="I28" s="5"/>
      <c r="J28" s="5"/>
      <c r="K28" s="5"/>
      <c r="L28" s="5"/>
      <c r="M28" s="5"/>
      <c r="N28" s="5"/>
      <c r="O28" s="5"/>
      <c r="P28" s="5"/>
      <c r="Q28" s="5"/>
      <c r="R28" s="5"/>
      <c r="S28" s="5"/>
      <c r="T28" s="5"/>
      <c r="U28" s="5"/>
      <c r="V28" s="5"/>
      <c r="W28" s="5"/>
      <c r="X28" s="5"/>
      <c r="Y28" s="5"/>
      <c r="Z28" s="5"/>
    </row>
    <row r="29">
      <c r="B29" s="5"/>
      <c r="C29" s="5"/>
      <c r="D29" s="5"/>
      <c r="E29" s="5"/>
      <c r="F29" s="5"/>
      <c r="G29" s="5"/>
      <c r="H29" s="5"/>
      <c r="I29" s="5"/>
      <c r="J29" s="5"/>
      <c r="K29" s="5"/>
      <c r="L29" s="5"/>
      <c r="M29" s="5"/>
      <c r="N29" s="5"/>
      <c r="O29" s="5"/>
      <c r="P29" s="5"/>
      <c r="Q29" s="5"/>
      <c r="R29" s="5"/>
      <c r="S29" s="5"/>
      <c r="T29" s="5"/>
      <c r="U29" s="5"/>
      <c r="V29" s="5"/>
      <c r="W29" s="5"/>
      <c r="X29" s="5"/>
      <c r="Y29" s="5"/>
      <c r="Z29" s="5"/>
    </row>
    <row r="30">
      <c r="C30" s="5"/>
      <c r="D30" s="5"/>
      <c r="E30" s="5"/>
      <c r="F30" s="5"/>
      <c r="G30" s="5"/>
      <c r="H30" s="5"/>
      <c r="I30" s="5"/>
      <c r="J30" s="5"/>
      <c r="K30" s="5"/>
      <c r="L30" s="5"/>
      <c r="M30" s="5"/>
      <c r="N30" s="5"/>
      <c r="O30" s="5"/>
      <c r="P30" s="5"/>
      <c r="Q30" s="5"/>
      <c r="R30" s="5"/>
      <c r="S30" s="5"/>
      <c r="T30" s="5"/>
      <c r="U30" s="5"/>
      <c r="V30" s="5"/>
      <c r="W30" s="5"/>
      <c r="X30" s="5"/>
      <c r="Y30" s="5"/>
      <c r="Z30" s="5"/>
    </row>
    <row r="31">
      <c r="B31" s="5"/>
      <c r="C31" s="5"/>
      <c r="D31" s="5"/>
      <c r="E31" s="5"/>
      <c r="F31" s="5"/>
      <c r="G31" s="5"/>
      <c r="H31" s="5"/>
      <c r="I31" s="5"/>
      <c r="J31" s="5"/>
      <c r="K31" s="5"/>
      <c r="L31" s="5"/>
      <c r="M31" s="5"/>
      <c r="N31" s="5"/>
      <c r="O31" s="5"/>
      <c r="P31" s="5"/>
      <c r="Q31" s="5"/>
      <c r="R31" s="5"/>
      <c r="S31" s="5"/>
      <c r="T31" s="5"/>
      <c r="U31" s="5"/>
      <c r="V31" s="5"/>
      <c r="W31" s="5"/>
      <c r="X31" s="5"/>
      <c r="Y31" s="5"/>
      <c r="Z31" s="5"/>
    </row>
    <row r="32">
      <c r="B32" s="5"/>
      <c r="C32" s="5"/>
      <c r="D32" s="5"/>
      <c r="E32" s="5"/>
      <c r="F32" s="5"/>
      <c r="G32" s="5"/>
      <c r="H32" s="5"/>
      <c r="I32" s="5"/>
      <c r="J32" s="5"/>
      <c r="K32" s="5"/>
      <c r="L32" s="5"/>
      <c r="M32" s="5"/>
      <c r="N32" s="5"/>
      <c r="O32" s="5"/>
      <c r="P32" s="5"/>
      <c r="Q32" s="5"/>
      <c r="R32" s="5"/>
      <c r="S32" s="5"/>
      <c r="T32" s="5"/>
      <c r="U32" s="5"/>
      <c r="V32" s="5"/>
      <c r="W32" s="5"/>
      <c r="X32" s="5"/>
      <c r="Y32" s="5"/>
      <c r="Z32" s="5"/>
    </row>
    <row r="33">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1">
    <mergeCell ref="B1:E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3.5"/>
    <col customWidth="1" min="2" max="2" width="29.25"/>
    <col customWidth="1" min="3" max="3" width="13.75"/>
    <col customWidth="1" min="4" max="4" width="16.75"/>
    <col customWidth="1" min="5" max="5" width="13.75"/>
    <col customWidth="1" min="6" max="6" width="14.13"/>
    <col customWidth="1" min="7" max="7" width="16.0"/>
  </cols>
  <sheetData>
    <row r="1">
      <c r="B1" s="3" t="s">
        <v>2</v>
      </c>
    </row>
    <row r="2">
      <c r="A2" s="1" t="s">
        <v>5</v>
      </c>
      <c r="B2" s="7" t="s">
        <v>7</v>
      </c>
      <c r="C2" s="9" t="s">
        <v>9</v>
      </c>
      <c r="D2" s="10" t="s">
        <v>11</v>
      </c>
      <c r="E2" s="11" t="s">
        <v>13</v>
      </c>
      <c r="F2" s="13" t="s">
        <v>15</v>
      </c>
      <c r="G2" s="15" t="s">
        <v>17</v>
      </c>
    </row>
    <row r="3">
      <c r="A3" s="21" t="s">
        <v>25</v>
      </c>
      <c r="B3" s="19" t="s">
        <v>23</v>
      </c>
      <c r="C3" s="19">
        <v>1.07</v>
      </c>
      <c r="D3" s="19">
        <v>1.2</v>
      </c>
      <c r="E3" s="19" t="s">
        <v>30</v>
      </c>
      <c r="F3" s="19">
        <v>1.75</v>
      </c>
      <c r="G3" s="19" t="s">
        <v>31</v>
      </c>
    </row>
    <row r="4">
      <c r="A4" s="21" t="s">
        <v>33</v>
      </c>
      <c r="B4" s="19" t="s">
        <v>26</v>
      </c>
      <c r="C4" s="19">
        <v>1.1</v>
      </c>
      <c r="D4" s="19">
        <v>1.2</v>
      </c>
      <c r="E4" s="19" t="s">
        <v>30</v>
      </c>
      <c r="F4" s="19">
        <v>1.75</v>
      </c>
      <c r="G4" s="19" t="s">
        <v>31</v>
      </c>
    </row>
    <row r="5">
      <c r="A5" s="21" t="s">
        <v>40</v>
      </c>
      <c r="B5" s="19" t="s">
        <v>26</v>
      </c>
      <c r="C5" s="19" t="s">
        <v>42</v>
      </c>
      <c r="D5" s="19">
        <v>1.3</v>
      </c>
      <c r="E5" s="19" t="s">
        <v>44</v>
      </c>
      <c r="F5" s="19" t="s">
        <v>45</v>
      </c>
      <c r="G5" s="19" t="s">
        <v>46</v>
      </c>
    </row>
    <row r="6">
      <c r="A6" s="35" t="s">
        <v>48</v>
      </c>
      <c r="B6" s="19" t="s">
        <v>26</v>
      </c>
      <c r="C6" s="19" t="s">
        <v>42</v>
      </c>
      <c r="D6" s="19">
        <v>1.3</v>
      </c>
      <c r="E6" s="19" t="s">
        <v>44</v>
      </c>
      <c r="F6" s="19" t="s">
        <v>57</v>
      </c>
      <c r="G6" s="19" t="s">
        <v>31</v>
      </c>
    </row>
    <row r="7">
      <c r="A7" s="26" t="s">
        <v>59</v>
      </c>
      <c r="B7" s="19" t="s">
        <v>60</v>
      </c>
      <c r="C7" s="19" t="s">
        <v>36</v>
      </c>
      <c r="D7" s="19" t="s">
        <v>49</v>
      </c>
      <c r="E7" s="19" t="s">
        <v>30</v>
      </c>
      <c r="F7" s="19" t="s">
        <v>44</v>
      </c>
      <c r="G7" s="19">
        <v>1.7</v>
      </c>
    </row>
    <row r="8">
      <c r="A8" s="4" t="s">
        <v>66</v>
      </c>
      <c r="B8" s="43">
        <v>-0.025</v>
      </c>
      <c r="C8" s="44">
        <v>-0.05</v>
      </c>
      <c r="D8" s="43">
        <v>-0.075</v>
      </c>
      <c r="E8" s="44">
        <v>-0.1</v>
      </c>
      <c r="F8" s="44">
        <v>-0.13</v>
      </c>
      <c r="G8" s="44">
        <v>-0.2</v>
      </c>
    </row>
    <row r="9">
      <c r="A9" s="35" t="s">
        <v>81</v>
      </c>
      <c r="B9" s="41"/>
      <c r="C9" s="19" t="s">
        <v>82</v>
      </c>
      <c r="D9" s="19" t="s">
        <v>85</v>
      </c>
      <c r="E9" s="19" t="s">
        <v>42</v>
      </c>
      <c r="F9" s="19" t="s">
        <v>36</v>
      </c>
      <c r="G9" s="19">
        <v>1.3</v>
      </c>
    </row>
    <row r="10">
      <c r="A10" s="21" t="s">
        <v>94</v>
      </c>
      <c r="B10" s="39"/>
      <c r="C10" s="19" t="str">
        <f>"0.002, Max 1.45x"</f>
        <v>0.002, Max 1.45x</v>
      </c>
      <c r="D10" s="19" t="str">
        <f>"0.002, Max 2x"</f>
        <v>0.002, Max 2x</v>
      </c>
      <c r="E10" s="19" t="str">
        <f>"0.002, Max 2.5x"</f>
        <v>0.002, Max 2.5x</v>
      </c>
      <c r="F10" s="19" t="str">
        <f>"0.002, Max 2.85x"</f>
        <v>0.002, Max 2.85x</v>
      </c>
      <c r="G10" s="19" t="str">
        <f>"0.002, Max 3.35x"</f>
        <v>0.002, Max 3.35x</v>
      </c>
    </row>
    <row r="11">
      <c r="A11" s="4" t="s">
        <v>105</v>
      </c>
      <c r="B11" s="41"/>
      <c r="C11" s="19" t="s">
        <v>107</v>
      </c>
      <c r="D11" s="19" t="s">
        <v>108</v>
      </c>
      <c r="E11" s="19" t="s">
        <v>109</v>
      </c>
      <c r="F11" s="19" t="s">
        <v>111</v>
      </c>
      <c r="G11" s="30"/>
    </row>
    <row r="12">
      <c r="A12" s="4" t="s">
        <v>114</v>
      </c>
      <c r="B12" s="41"/>
      <c r="C12" s="19" t="s">
        <v>116</v>
      </c>
      <c r="D12" s="19" t="s">
        <v>118</v>
      </c>
      <c r="E12" s="19" t="s">
        <v>120</v>
      </c>
      <c r="F12" s="19" t="s">
        <v>121</v>
      </c>
      <c r="G12" s="30"/>
    </row>
    <row r="13">
      <c r="A13" s="17" t="s">
        <v>124</v>
      </c>
      <c r="B13" s="41"/>
      <c r="C13" s="39"/>
      <c r="D13" s="19" t="s">
        <v>127</v>
      </c>
      <c r="E13" s="19" t="s">
        <v>128</v>
      </c>
      <c r="F13" s="19" t="s">
        <v>130</v>
      </c>
      <c r="G13" s="30"/>
    </row>
    <row r="14">
      <c r="A14" s="4" t="s">
        <v>136</v>
      </c>
      <c r="B14" s="41"/>
      <c r="C14" s="41"/>
      <c r="D14" s="19" t="s">
        <v>140</v>
      </c>
      <c r="E14" s="19" t="s">
        <v>142</v>
      </c>
      <c r="F14" s="19" t="s">
        <v>143</v>
      </c>
      <c r="G14" s="30"/>
    </row>
    <row r="15">
      <c r="A15" s="4" t="s">
        <v>144</v>
      </c>
      <c r="B15" s="41"/>
      <c r="C15" s="41"/>
      <c r="D15" s="39"/>
      <c r="E15" s="19" t="s">
        <v>145</v>
      </c>
      <c r="F15" s="19" t="s">
        <v>148</v>
      </c>
      <c r="G15" s="30"/>
    </row>
    <row r="16">
      <c r="A16" s="17" t="s">
        <v>151</v>
      </c>
      <c r="B16" s="41"/>
      <c r="C16" s="41"/>
      <c r="D16" s="41"/>
      <c r="E16" s="19" t="s">
        <v>42</v>
      </c>
      <c r="F16" s="19" t="s">
        <v>28</v>
      </c>
      <c r="G16" s="19">
        <v>1.4</v>
      </c>
    </row>
    <row r="17">
      <c r="A17" s="35" t="s">
        <v>156</v>
      </c>
      <c r="B17" s="51"/>
      <c r="C17" s="57"/>
      <c r="D17" s="57"/>
      <c r="E17" s="8" t="s">
        <v>158</v>
      </c>
      <c r="F17" s="8" t="s">
        <v>160</v>
      </c>
      <c r="G17" s="8" t="s">
        <v>161</v>
      </c>
    </row>
    <row r="18">
      <c r="B18" s="52"/>
    </row>
    <row r="19">
      <c r="B19" s="52"/>
    </row>
    <row r="20">
      <c r="A20" s="62"/>
      <c r="B20" s="52"/>
    </row>
    <row r="21">
      <c r="B21" s="52"/>
    </row>
    <row r="22">
      <c r="A22" s="61"/>
      <c r="B22" s="52"/>
    </row>
    <row r="23">
      <c r="B23" s="52"/>
    </row>
    <row r="24">
      <c r="B24" s="52"/>
    </row>
    <row r="25">
      <c r="B25" s="52"/>
    </row>
    <row r="26">
      <c r="B26" s="52"/>
    </row>
    <row r="27">
      <c r="B27" s="52"/>
    </row>
    <row r="28">
      <c r="B28" s="52"/>
    </row>
    <row r="29">
      <c r="B29" s="52"/>
    </row>
    <row r="30">
      <c r="B30" s="52"/>
    </row>
    <row r="31">
      <c r="B31" s="52"/>
    </row>
    <row r="32">
      <c r="B32" s="52"/>
    </row>
    <row r="33">
      <c r="B33" s="52"/>
    </row>
    <row r="34">
      <c r="B34" s="52"/>
    </row>
    <row r="35">
      <c r="B35" s="52"/>
    </row>
    <row r="36">
      <c r="B36" s="52"/>
    </row>
    <row r="37">
      <c r="B37" s="52"/>
    </row>
    <row r="38">
      <c r="B38" s="52"/>
    </row>
    <row r="39">
      <c r="B39" s="52"/>
    </row>
    <row r="40">
      <c r="B40" s="52"/>
    </row>
    <row r="41">
      <c r="B41" s="52"/>
    </row>
    <row r="42">
      <c r="B42" s="52"/>
    </row>
    <row r="43">
      <c r="B43" s="52"/>
    </row>
    <row r="44">
      <c r="B44" s="52"/>
    </row>
    <row r="45">
      <c r="B45" s="52"/>
    </row>
    <row r="46">
      <c r="B46" s="52"/>
    </row>
    <row r="47">
      <c r="B47" s="52"/>
    </row>
    <row r="48">
      <c r="B48" s="52"/>
    </row>
    <row r="49">
      <c r="B49" s="52"/>
    </row>
    <row r="50">
      <c r="B50" s="52"/>
    </row>
    <row r="51">
      <c r="B51" s="52"/>
    </row>
    <row r="52">
      <c r="B52" s="52"/>
    </row>
    <row r="53">
      <c r="B53" s="52"/>
    </row>
    <row r="54">
      <c r="B54" s="52"/>
    </row>
    <row r="55">
      <c r="B55" s="52"/>
    </row>
    <row r="56">
      <c r="B56" s="52"/>
    </row>
    <row r="57">
      <c r="B57" s="52"/>
    </row>
    <row r="58">
      <c r="B58" s="52"/>
    </row>
    <row r="59">
      <c r="B59" s="52"/>
    </row>
    <row r="60">
      <c r="B60" s="52"/>
    </row>
    <row r="61">
      <c r="B61" s="52"/>
    </row>
    <row r="62">
      <c r="B62" s="52"/>
    </row>
    <row r="63">
      <c r="B63" s="52"/>
    </row>
    <row r="64">
      <c r="B64" s="52"/>
    </row>
    <row r="65">
      <c r="B65" s="52"/>
    </row>
    <row r="66">
      <c r="B66" s="52"/>
    </row>
    <row r="67">
      <c r="B67" s="52"/>
    </row>
    <row r="68">
      <c r="B68" s="52"/>
    </row>
    <row r="69">
      <c r="B69" s="52"/>
    </row>
    <row r="70">
      <c r="B70" s="52"/>
    </row>
    <row r="71">
      <c r="B71" s="52"/>
    </row>
    <row r="72">
      <c r="B72" s="52"/>
    </row>
    <row r="73">
      <c r="B73" s="52"/>
    </row>
    <row r="74">
      <c r="B74" s="52"/>
    </row>
    <row r="75">
      <c r="B75" s="52"/>
    </row>
    <row r="76">
      <c r="B76" s="52"/>
    </row>
    <row r="77">
      <c r="B77" s="52"/>
    </row>
    <row r="78">
      <c r="B78" s="52"/>
    </row>
    <row r="79">
      <c r="B79" s="52"/>
    </row>
    <row r="80">
      <c r="B80" s="52"/>
    </row>
    <row r="81">
      <c r="B81" s="52"/>
    </row>
    <row r="82">
      <c r="B82" s="52"/>
    </row>
    <row r="83">
      <c r="B83" s="52"/>
    </row>
    <row r="84">
      <c r="B84" s="52"/>
    </row>
    <row r="85">
      <c r="B85" s="52"/>
    </row>
    <row r="86">
      <c r="B86" s="52"/>
    </row>
    <row r="87">
      <c r="B87" s="52"/>
    </row>
    <row r="88">
      <c r="B88" s="52"/>
    </row>
    <row r="89">
      <c r="B89" s="52"/>
    </row>
    <row r="90">
      <c r="B90" s="52"/>
    </row>
    <row r="91">
      <c r="B91" s="52"/>
    </row>
    <row r="92">
      <c r="B92" s="52"/>
    </row>
    <row r="93">
      <c r="B93" s="52"/>
    </row>
    <row r="94">
      <c r="B94" s="52"/>
    </row>
    <row r="95">
      <c r="B95" s="52"/>
    </row>
    <row r="96">
      <c r="B96" s="52"/>
    </row>
    <row r="97">
      <c r="B97" s="52"/>
    </row>
    <row r="98">
      <c r="B98" s="52"/>
    </row>
    <row r="99">
      <c r="B99" s="52"/>
    </row>
    <row r="100">
      <c r="B100" s="52"/>
    </row>
    <row r="101">
      <c r="B101" s="52"/>
    </row>
    <row r="102">
      <c r="B102" s="52"/>
    </row>
    <row r="103">
      <c r="B103" s="52"/>
    </row>
    <row r="104">
      <c r="B104" s="52"/>
    </row>
    <row r="105">
      <c r="B105" s="52"/>
    </row>
    <row r="106">
      <c r="B106" s="52"/>
    </row>
    <row r="107">
      <c r="B107" s="52"/>
    </row>
    <row r="108">
      <c r="B108" s="52"/>
    </row>
    <row r="109">
      <c r="B109" s="52"/>
    </row>
    <row r="110">
      <c r="B110" s="52"/>
    </row>
    <row r="111">
      <c r="B111" s="52"/>
    </row>
    <row r="112">
      <c r="B112" s="52"/>
    </row>
    <row r="113">
      <c r="B113" s="52"/>
    </row>
    <row r="114">
      <c r="B114" s="52"/>
    </row>
    <row r="115">
      <c r="B115" s="52"/>
    </row>
    <row r="116">
      <c r="B116" s="52"/>
    </row>
    <row r="117">
      <c r="B117" s="52"/>
    </row>
    <row r="118">
      <c r="B118" s="52"/>
    </row>
    <row r="119">
      <c r="B119" s="52"/>
    </row>
    <row r="120">
      <c r="B120" s="52"/>
    </row>
    <row r="121">
      <c r="B121" s="52"/>
    </row>
    <row r="122">
      <c r="B122" s="52"/>
    </row>
    <row r="123">
      <c r="B123" s="52"/>
    </row>
    <row r="124">
      <c r="B124" s="52"/>
    </row>
    <row r="125">
      <c r="B125" s="52"/>
    </row>
    <row r="126">
      <c r="B126" s="52"/>
    </row>
    <row r="127">
      <c r="B127" s="52"/>
    </row>
    <row r="128">
      <c r="B128" s="52"/>
    </row>
    <row r="129">
      <c r="B129" s="52"/>
    </row>
    <row r="130">
      <c r="B130" s="52"/>
    </row>
    <row r="131">
      <c r="B131" s="52"/>
    </row>
    <row r="132">
      <c r="B132" s="52"/>
    </row>
    <row r="133">
      <c r="B133" s="52"/>
    </row>
    <row r="134">
      <c r="B134" s="52"/>
    </row>
    <row r="135">
      <c r="B135" s="52"/>
    </row>
    <row r="136">
      <c r="B136" s="52"/>
    </row>
    <row r="137">
      <c r="B137" s="52"/>
    </row>
    <row r="138">
      <c r="B138" s="52"/>
    </row>
    <row r="139">
      <c r="B139" s="52"/>
    </row>
    <row r="140">
      <c r="B140" s="52"/>
    </row>
    <row r="141">
      <c r="B141" s="52"/>
    </row>
    <row r="142">
      <c r="B142" s="52"/>
    </row>
    <row r="143">
      <c r="B143" s="52"/>
    </row>
    <row r="144">
      <c r="B144" s="52"/>
    </row>
    <row r="145">
      <c r="B145" s="52"/>
    </row>
    <row r="146">
      <c r="B146" s="52"/>
    </row>
    <row r="147">
      <c r="B147" s="52"/>
    </row>
    <row r="148">
      <c r="B148" s="52"/>
    </row>
    <row r="149">
      <c r="B149" s="52"/>
    </row>
    <row r="150">
      <c r="B150" s="52"/>
    </row>
    <row r="151">
      <c r="B151" s="52"/>
    </row>
    <row r="152">
      <c r="B152" s="52"/>
    </row>
    <row r="153">
      <c r="B153" s="52"/>
    </row>
    <row r="154">
      <c r="B154" s="52"/>
    </row>
    <row r="155">
      <c r="B155" s="52"/>
    </row>
    <row r="156">
      <c r="B156" s="52"/>
    </row>
    <row r="157">
      <c r="B157" s="52"/>
    </row>
    <row r="158">
      <c r="B158" s="52"/>
    </row>
    <row r="159">
      <c r="B159" s="52"/>
    </row>
    <row r="160">
      <c r="B160" s="52"/>
    </row>
    <row r="161">
      <c r="B161" s="52"/>
    </row>
    <row r="162">
      <c r="B162" s="52"/>
    </row>
    <row r="163">
      <c r="B163" s="52"/>
    </row>
    <row r="164">
      <c r="B164" s="52"/>
    </row>
    <row r="165">
      <c r="B165" s="52"/>
    </row>
    <row r="166">
      <c r="B166" s="52"/>
    </row>
    <row r="167">
      <c r="B167" s="52"/>
    </row>
    <row r="168">
      <c r="B168" s="52"/>
    </row>
    <row r="169">
      <c r="B169" s="52"/>
    </row>
    <row r="170">
      <c r="B170" s="52"/>
    </row>
    <row r="171">
      <c r="B171" s="52"/>
    </row>
    <row r="172">
      <c r="B172" s="52"/>
    </row>
    <row r="173">
      <c r="B173" s="52"/>
    </row>
    <row r="174">
      <c r="B174" s="52"/>
    </row>
    <row r="175">
      <c r="B175" s="52"/>
    </row>
    <row r="176">
      <c r="B176" s="52"/>
    </row>
    <row r="177">
      <c r="B177" s="52"/>
    </row>
    <row r="178">
      <c r="B178" s="52"/>
    </row>
    <row r="179">
      <c r="B179" s="52"/>
    </row>
    <row r="180">
      <c r="B180" s="52"/>
    </row>
    <row r="181">
      <c r="B181" s="52"/>
    </row>
    <row r="182">
      <c r="B182" s="52"/>
    </row>
    <row r="183">
      <c r="B183" s="52"/>
    </row>
    <row r="184">
      <c r="B184" s="52"/>
    </row>
    <row r="185">
      <c r="B185" s="52"/>
    </row>
    <row r="186">
      <c r="B186" s="52"/>
    </row>
    <row r="187">
      <c r="B187" s="52"/>
    </row>
    <row r="188">
      <c r="B188" s="52"/>
    </row>
    <row r="189">
      <c r="B189" s="52"/>
    </row>
    <row r="190">
      <c r="B190" s="52"/>
    </row>
    <row r="191">
      <c r="B191" s="52"/>
    </row>
    <row r="192">
      <c r="B192" s="52"/>
    </row>
    <row r="193">
      <c r="B193" s="52"/>
    </row>
    <row r="194">
      <c r="B194" s="52"/>
    </row>
    <row r="195">
      <c r="B195" s="52"/>
    </row>
    <row r="196">
      <c r="B196" s="52"/>
    </row>
    <row r="197">
      <c r="B197" s="52"/>
    </row>
    <row r="198">
      <c r="B198" s="52"/>
    </row>
    <row r="199">
      <c r="B199" s="52"/>
    </row>
    <row r="200">
      <c r="B200" s="52"/>
    </row>
    <row r="201">
      <c r="B201" s="52"/>
    </row>
    <row r="202">
      <c r="B202" s="52"/>
    </row>
    <row r="203">
      <c r="B203" s="52"/>
    </row>
    <row r="204">
      <c r="B204" s="52"/>
    </row>
    <row r="205">
      <c r="B205" s="52"/>
    </row>
    <row r="206">
      <c r="B206" s="52"/>
    </row>
    <row r="207">
      <c r="B207" s="52"/>
    </row>
    <row r="208">
      <c r="B208" s="52"/>
    </row>
    <row r="209">
      <c r="B209" s="52"/>
    </row>
    <row r="210">
      <c r="B210" s="52"/>
    </row>
    <row r="211">
      <c r="B211" s="52"/>
    </row>
    <row r="212">
      <c r="B212" s="52"/>
    </row>
    <row r="213">
      <c r="B213" s="52"/>
    </row>
    <row r="214">
      <c r="B214" s="52"/>
    </row>
    <row r="215">
      <c r="B215" s="52"/>
    </row>
    <row r="216">
      <c r="B216" s="52"/>
    </row>
    <row r="217">
      <c r="B217" s="52"/>
    </row>
    <row r="218">
      <c r="B218" s="52"/>
    </row>
    <row r="219">
      <c r="B219" s="52"/>
    </row>
    <row r="220">
      <c r="B220" s="52"/>
    </row>
    <row r="221">
      <c r="B221" s="52"/>
    </row>
    <row r="222">
      <c r="B222" s="52"/>
    </row>
    <row r="223">
      <c r="B223" s="52"/>
    </row>
    <row r="224">
      <c r="B224" s="52"/>
    </row>
    <row r="225">
      <c r="B225" s="52"/>
    </row>
    <row r="226">
      <c r="B226" s="52"/>
    </row>
    <row r="227">
      <c r="B227" s="52"/>
    </row>
    <row r="228">
      <c r="B228" s="52"/>
    </row>
    <row r="229">
      <c r="B229" s="52"/>
    </row>
    <row r="230">
      <c r="B230" s="52"/>
    </row>
    <row r="231">
      <c r="B231" s="52"/>
    </row>
    <row r="232">
      <c r="B232" s="52"/>
    </row>
    <row r="233">
      <c r="B233" s="52"/>
    </row>
    <row r="234">
      <c r="B234" s="52"/>
    </row>
    <row r="235">
      <c r="B235" s="52"/>
    </row>
    <row r="236">
      <c r="B236" s="52"/>
    </row>
    <row r="237">
      <c r="B237" s="52"/>
    </row>
    <row r="238">
      <c r="B238" s="52"/>
    </row>
    <row r="239">
      <c r="B239" s="52"/>
    </row>
    <row r="240">
      <c r="B240" s="52"/>
    </row>
    <row r="241">
      <c r="B241" s="52"/>
    </row>
    <row r="242">
      <c r="B242" s="52"/>
    </row>
    <row r="243">
      <c r="B243" s="52"/>
    </row>
    <row r="244">
      <c r="B244" s="52"/>
    </row>
    <row r="245">
      <c r="B245" s="52"/>
    </row>
    <row r="246">
      <c r="B246" s="52"/>
    </row>
    <row r="247">
      <c r="B247" s="52"/>
    </row>
    <row r="248">
      <c r="B248" s="52"/>
    </row>
    <row r="249">
      <c r="B249" s="52"/>
    </row>
    <row r="250">
      <c r="B250" s="52"/>
    </row>
    <row r="251">
      <c r="B251" s="52"/>
    </row>
    <row r="252">
      <c r="B252" s="52"/>
    </row>
    <row r="253">
      <c r="B253" s="52"/>
    </row>
    <row r="254">
      <c r="B254" s="52"/>
    </row>
    <row r="255">
      <c r="B255" s="52"/>
    </row>
    <row r="256">
      <c r="B256" s="52"/>
    </row>
    <row r="257">
      <c r="B257" s="52"/>
    </row>
    <row r="258">
      <c r="B258" s="52"/>
    </row>
    <row r="259">
      <c r="B259" s="52"/>
    </row>
    <row r="260">
      <c r="B260" s="52"/>
    </row>
    <row r="261">
      <c r="B261" s="52"/>
    </row>
    <row r="262">
      <c r="B262" s="52"/>
    </row>
    <row r="263">
      <c r="B263" s="52"/>
    </row>
    <row r="264">
      <c r="B264" s="52"/>
    </row>
    <row r="265">
      <c r="B265" s="52"/>
    </row>
    <row r="266">
      <c r="B266" s="52"/>
    </row>
    <row r="267">
      <c r="B267" s="52"/>
    </row>
    <row r="268">
      <c r="B268" s="52"/>
    </row>
    <row r="269">
      <c r="B269" s="52"/>
    </row>
    <row r="270">
      <c r="B270" s="52"/>
    </row>
    <row r="271">
      <c r="B271" s="52"/>
    </row>
    <row r="272">
      <c r="B272" s="52"/>
    </row>
    <row r="273">
      <c r="B273" s="52"/>
    </row>
    <row r="274">
      <c r="B274" s="52"/>
    </row>
    <row r="275">
      <c r="B275" s="52"/>
    </row>
    <row r="276">
      <c r="B276" s="52"/>
    </row>
    <row r="277">
      <c r="B277" s="52"/>
    </row>
    <row r="278">
      <c r="B278" s="52"/>
    </row>
    <row r="279">
      <c r="B279" s="52"/>
    </row>
    <row r="280">
      <c r="B280" s="52"/>
    </row>
    <row r="281">
      <c r="B281" s="52"/>
    </row>
    <row r="282">
      <c r="B282" s="52"/>
    </row>
    <row r="283">
      <c r="B283" s="52"/>
    </row>
    <row r="284">
      <c r="B284" s="52"/>
    </row>
    <row r="285">
      <c r="B285" s="52"/>
    </row>
    <row r="286">
      <c r="B286" s="52"/>
    </row>
    <row r="287">
      <c r="B287" s="52"/>
    </row>
    <row r="288">
      <c r="B288" s="52"/>
    </row>
    <row r="289">
      <c r="B289" s="52"/>
    </row>
    <row r="290">
      <c r="B290" s="52"/>
    </row>
    <row r="291">
      <c r="B291" s="52"/>
    </row>
    <row r="292">
      <c r="B292" s="52"/>
    </row>
    <row r="293">
      <c r="B293" s="52"/>
    </row>
    <row r="294">
      <c r="B294" s="52"/>
    </row>
    <row r="295">
      <c r="B295" s="52"/>
    </row>
    <row r="296">
      <c r="B296" s="52"/>
    </row>
    <row r="297">
      <c r="B297" s="52"/>
    </row>
    <row r="298">
      <c r="B298" s="52"/>
    </row>
    <row r="299">
      <c r="B299" s="52"/>
    </row>
    <row r="300">
      <c r="B300" s="52"/>
    </row>
    <row r="301">
      <c r="B301" s="52"/>
    </row>
    <row r="302">
      <c r="B302" s="52"/>
    </row>
    <row r="303">
      <c r="B303" s="52"/>
    </row>
    <row r="304">
      <c r="B304" s="52"/>
    </row>
    <row r="305">
      <c r="B305" s="52"/>
    </row>
    <row r="306">
      <c r="B306" s="52"/>
    </row>
    <row r="307">
      <c r="B307" s="52"/>
    </row>
    <row r="308">
      <c r="B308" s="52"/>
    </row>
    <row r="309">
      <c r="B309" s="52"/>
    </row>
    <row r="310">
      <c r="B310" s="52"/>
    </row>
    <row r="311">
      <c r="B311" s="52"/>
    </row>
    <row r="312">
      <c r="B312" s="52"/>
    </row>
    <row r="313">
      <c r="B313" s="52"/>
    </row>
    <row r="314">
      <c r="B314" s="52"/>
    </row>
    <row r="315">
      <c r="B315" s="52"/>
    </row>
    <row r="316">
      <c r="B316" s="52"/>
    </row>
    <row r="317">
      <c r="B317" s="52"/>
    </row>
    <row r="318">
      <c r="B318" s="52"/>
    </row>
    <row r="319">
      <c r="B319" s="52"/>
    </row>
    <row r="320">
      <c r="B320" s="52"/>
    </row>
    <row r="321">
      <c r="B321" s="52"/>
    </row>
    <row r="322">
      <c r="B322" s="52"/>
    </row>
    <row r="323">
      <c r="B323" s="52"/>
    </row>
    <row r="324">
      <c r="B324" s="52"/>
    </row>
    <row r="325">
      <c r="B325" s="52"/>
    </row>
    <row r="326">
      <c r="B326" s="52"/>
    </row>
    <row r="327">
      <c r="B327" s="52"/>
    </row>
    <row r="328">
      <c r="B328" s="52"/>
    </row>
    <row r="329">
      <c r="B329" s="52"/>
    </row>
    <row r="330">
      <c r="B330" s="52"/>
    </row>
    <row r="331">
      <c r="B331" s="52"/>
    </row>
    <row r="332">
      <c r="B332" s="52"/>
    </row>
    <row r="333">
      <c r="B333" s="52"/>
    </row>
    <row r="334">
      <c r="B334" s="52"/>
    </row>
    <row r="335">
      <c r="B335" s="52"/>
    </row>
    <row r="336">
      <c r="B336" s="52"/>
    </row>
    <row r="337">
      <c r="B337" s="52"/>
    </row>
    <row r="338">
      <c r="B338" s="52"/>
    </row>
    <row r="339">
      <c r="B339" s="52"/>
    </row>
    <row r="340">
      <c r="B340" s="52"/>
    </row>
    <row r="341">
      <c r="B341" s="52"/>
    </row>
    <row r="342">
      <c r="B342" s="52"/>
    </row>
    <row r="343">
      <c r="B343" s="52"/>
    </row>
    <row r="344">
      <c r="B344" s="52"/>
    </row>
    <row r="345">
      <c r="B345" s="52"/>
    </row>
    <row r="346">
      <c r="B346" s="52"/>
    </row>
    <row r="347">
      <c r="B347" s="52"/>
    </row>
    <row r="348">
      <c r="B348" s="52"/>
    </row>
    <row r="349">
      <c r="B349" s="52"/>
    </row>
    <row r="350">
      <c r="B350" s="52"/>
    </row>
    <row r="351">
      <c r="B351" s="52"/>
    </row>
    <row r="352">
      <c r="B352" s="52"/>
    </row>
    <row r="353">
      <c r="B353" s="52"/>
    </row>
    <row r="354">
      <c r="B354" s="52"/>
    </row>
    <row r="355">
      <c r="B355" s="52"/>
    </row>
    <row r="356">
      <c r="B356" s="52"/>
    </row>
    <row r="357">
      <c r="B357" s="52"/>
    </row>
    <row r="358">
      <c r="B358" s="52"/>
    </row>
    <row r="359">
      <c r="B359" s="52"/>
    </row>
    <row r="360">
      <c r="B360" s="52"/>
    </row>
    <row r="361">
      <c r="B361" s="52"/>
    </row>
    <row r="362">
      <c r="B362" s="52"/>
    </row>
    <row r="363">
      <c r="B363" s="52"/>
    </row>
    <row r="364">
      <c r="B364" s="52"/>
    </row>
    <row r="365">
      <c r="B365" s="52"/>
    </row>
    <row r="366">
      <c r="B366" s="52"/>
    </row>
    <row r="367">
      <c r="B367" s="52"/>
    </row>
    <row r="368">
      <c r="B368" s="52"/>
    </row>
    <row r="369">
      <c r="B369" s="52"/>
    </row>
    <row r="370">
      <c r="B370" s="52"/>
    </row>
    <row r="371">
      <c r="B371" s="52"/>
    </row>
    <row r="372">
      <c r="B372" s="52"/>
    </row>
    <row r="373">
      <c r="B373" s="52"/>
    </row>
    <row r="374">
      <c r="B374" s="52"/>
    </row>
    <row r="375">
      <c r="B375" s="52"/>
    </row>
    <row r="376">
      <c r="B376" s="52"/>
    </row>
    <row r="377">
      <c r="B377" s="52"/>
    </row>
    <row r="378">
      <c r="B378" s="52"/>
    </row>
    <row r="379">
      <c r="B379" s="52"/>
    </row>
    <row r="380">
      <c r="B380" s="52"/>
    </row>
    <row r="381">
      <c r="B381" s="52"/>
    </row>
    <row r="382">
      <c r="B382" s="52"/>
    </row>
    <row r="383">
      <c r="B383" s="52"/>
    </row>
    <row r="384">
      <c r="B384" s="52"/>
    </row>
    <row r="385">
      <c r="B385" s="52"/>
    </row>
    <row r="386">
      <c r="B386" s="52"/>
    </row>
    <row r="387">
      <c r="B387" s="52"/>
    </row>
    <row r="388">
      <c r="B388" s="52"/>
    </row>
    <row r="389">
      <c r="B389" s="52"/>
    </row>
    <row r="390">
      <c r="B390" s="52"/>
    </row>
    <row r="391">
      <c r="B391" s="52"/>
    </row>
    <row r="392">
      <c r="B392" s="52"/>
    </row>
    <row r="393">
      <c r="B393" s="52"/>
    </row>
    <row r="394">
      <c r="B394" s="52"/>
    </row>
    <row r="395">
      <c r="B395" s="52"/>
    </row>
    <row r="396">
      <c r="B396" s="52"/>
    </row>
    <row r="397">
      <c r="B397" s="52"/>
    </row>
    <row r="398">
      <c r="B398" s="52"/>
    </row>
    <row r="399">
      <c r="B399" s="52"/>
    </row>
    <row r="400">
      <c r="B400" s="52"/>
    </row>
    <row r="401">
      <c r="B401" s="52"/>
    </row>
    <row r="402">
      <c r="B402" s="52"/>
    </row>
    <row r="403">
      <c r="B403" s="52"/>
    </row>
    <row r="404">
      <c r="B404" s="52"/>
    </row>
    <row r="405">
      <c r="B405" s="52"/>
    </row>
    <row r="406">
      <c r="B406" s="52"/>
    </row>
    <row r="407">
      <c r="B407" s="52"/>
    </row>
    <row r="408">
      <c r="B408" s="52"/>
    </row>
    <row r="409">
      <c r="B409" s="52"/>
    </row>
    <row r="410">
      <c r="B410" s="52"/>
    </row>
    <row r="411">
      <c r="B411" s="52"/>
    </row>
    <row r="412">
      <c r="B412" s="52"/>
    </row>
    <row r="413">
      <c r="B413" s="52"/>
    </row>
    <row r="414">
      <c r="B414" s="52"/>
    </row>
    <row r="415">
      <c r="B415" s="52"/>
    </row>
    <row r="416">
      <c r="B416" s="52"/>
    </row>
    <row r="417">
      <c r="B417" s="52"/>
    </row>
    <row r="418">
      <c r="B418" s="52"/>
    </row>
    <row r="419">
      <c r="B419" s="52"/>
    </row>
    <row r="420">
      <c r="B420" s="52"/>
    </row>
    <row r="421">
      <c r="B421" s="52"/>
    </row>
    <row r="422">
      <c r="B422" s="52"/>
    </row>
    <row r="423">
      <c r="B423" s="52"/>
    </row>
    <row r="424">
      <c r="B424" s="52"/>
    </row>
    <row r="425">
      <c r="B425" s="52"/>
    </row>
    <row r="426">
      <c r="B426" s="52"/>
    </row>
    <row r="427">
      <c r="B427" s="52"/>
    </row>
    <row r="428">
      <c r="B428" s="52"/>
    </row>
    <row r="429">
      <c r="B429" s="52"/>
    </row>
    <row r="430">
      <c r="B430" s="52"/>
    </row>
    <row r="431">
      <c r="B431" s="52"/>
    </row>
    <row r="432">
      <c r="B432" s="52"/>
    </row>
    <row r="433">
      <c r="B433" s="52"/>
    </row>
    <row r="434">
      <c r="B434" s="52"/>
    </row>
    <row r="435">
      <c r="B435" s="52"/>
    </row>
    <row r="436">
      <c r="B436" s="52"/>
    </row>
    <row r="437">
      <c r="B437" s="52"/>
    </row>
    <row r="438">
      <c r="B438" s="52"/>
    </row>
    <row r="439">
      <c r="B439" s="52"/>
    </row>
    <row r="440">
      <c r="B440" s="52"/>
    </row>
    <row r="441">
      <c r="B441" s="52"/>
    </row>
    <row r="442">
      <c r="B442" s="52"/>
    </row>
    <row r="443">
      <c r="B443" s="52"/>
    </row>
    <row r="444">
      <c r="B444" s="52"/>
    </row>
    <row r="445">
      <c r="B445" s="52"/>
    </row>
    <row r="446">
      <c r="B446" s="52"/>
    </row>
    <row r="447">
      <c r="B447" s="52"/>
    </row>
    <row r="448">
      <c r="B448" s="52"/>
    </row>
    <row r="449">
      <c r="B449" s="52"/>
    </row>
    <row r="450">
      <c r="B450" s="52"/>
    </row>
    <row r="451">
      <c r="B451" s="52"/>
    </row>
    <row r="452">
      <c r="B452" s="52"/>
    </row>
    <row r="453">
      <c r="B453" s="52"/>
    </row>
    <row r="454">
      <c r="B454" s="52"/>
    </row>
    <row r="455">
      <c r="B455" s="52"/>
    </row>
    <row r="456">
      <c r="B456" s="52"/>
    </row>
    <row r="457">
      <c r="B457" s="52"/>
    </row>
    <row r="458">
      <c r="B458" s="52"/>
    </row>
    <row r="459">
      <c r="B459" s="52"/>
    </row>
    <row r="460">
      <c r="B460" s="52"/>
    </row>
    <row r="461">
      <c r="B461" s="52"/>
    </row>
    <row r="462">
      <c r="B462" s="52"/>
    </row>
    <row r="463">
      <c r="B463" s="52"/>
    </row>
    <row r="464">
      <c r="B464" s="52"/>
    </row>
    <row r="465">
      <c r="B465" s="52"/>
    </row>
    <row r="466">
      <c r="B466" s="52"/>
    </row>
    <row r="467">
      <c r="B467" s="52"/>
    </row>
    <row r="468">
      <c r="B468" s="52"/>
    </row>
    <row r="469">
      <c r="B469" s="52"/>
    </row>
    <row r="470">
      <c r="B470" s="52"/>
    </row>
    <row r="471">
      <c r="B471" s="52"/>
    </row>
    <row r="472">
      <c r="B472" s="52"/>
    </row>
    <row r="473">
      <c r="B473" s="52"/>
    </row>
    <row r="474">
      <c r="B474" s="52"/>
    </row>
    <row r="475">
      <c r="B475" s="52"/>
    </row>
    <row r="476">
      <c r="B476" s="52"/>
    </row>
    <row r="477">
      <c r="B477" s="52"/>
    </row>
    <row r="478">
      <c r="B478" s="52"/>
    </row>
    <row r="479">
      <c r="B479" s="52"/>
    </row>
    <row r="480">
      <c r="B480" s="52"/>
    </row>
    <row r="481">
      <c r="B481" s="52"/>
    </row>
    <row r="482">
      <c r="B482" s="52"/>
    </row>
    <row r="483">
      <c r="B483" s="52"/>
    </row>
    <row r="484">
      <c r="B484" s="52"/>
    </row>
    <row r="485">
      <c r="B485" s="52"/>
    </row>
    <row r="486">
      <c r="B486" s="52"/>
    </row>
    <row r="487">
      <c r="B487" s="52"/>
    </row>
    <row r="488">
      <c r="B488" s="52"/>
    </row>
    <row r="489">
      <c r="B489" s="52"/>
    </row>
    <row r="490">
      <c r="B490" s="52"/>
    </row>
    <row r="491">
      <c r="B491" s="52"/>
    </row>
    <row r="492">
      <c r="B492" s="52"/>
    </row>
    <row r="493">
      <c r="B493" s="52"/>
    </row>
    <row r="494">
      <c r="B494" s="52"/>
    </row>
    <row r="495">
      <c r="B495" s="52"/>
    </row>
    <row r="496">
      <c r="B496" s="52"/>
    </row>
    <row r="497">
      <c r="B497" s="52"/>
    </row>
    <row r="498">
      <c r="B498" s="52"/>
    </row>
    <row r="499">
      <c r="B499" s="52"/>
    </row>
    <row r="500">
      <c r="B500" s="52"/>
    </row>
    <row r="501">
      <c r="B501" s="52"/>
    </row>
    <row r="502">
      <c r="B502" s="52"/>
    </row>
    <row r="503">
      <c r="B503" s="52"/>
    </row>
    <row r="504">
      <c r="B504" s="52"/>
    </row>
    <row r="505">
      <c r="B505" s="52"/>
    </row>
    <row r="506">
      <c r="B506" s="52"/>
    </row>
    <row r="507">
      <c r="B507" s="52"/>
    </row>
    <row r="508">
      <c r="B508" s="52"/>
    </row>
    <row r="509">
      <c r="B509" s="52"/>
    </row>
    <row r="510">
      <c r="B510" s="52"/>
    </row>
    <row r="511">
      <c r="B511" s="52"/>
    </row>
    <row r="512">
      <c r="B512" s="52"/>
    </row>
    <row r="513">
      <c r="B513" s="52"/>
    </row>
    <row r="514">
      <c r="B514" s="52"/>
    </row>
    <row r="515">
      <c r="B515" s="52"/>
    </row>
    <row r="516">
      <c r="B516" s="52"/>
    </row>
    <row r="517">
      <c r="B517" s="52"/>
    </row>
    <row r="518">
      <c r="B518" s="52"/>
    </row>
    <row r="519">
      <c r="B519" s="52"/>
    </row>
    <row r="520">
      <c r="B520" s="52"/>
    </row>
    <row r="521">
      <c r="B521" s="52"/>
    </row>
    <row r="522">
      <c r="B522" s="52"/>
    </row>
    <row r="523">
      <c r="B523" s="52"/>
    </row>
    <row r="524">
      <c r="B524" s="52"/>
    </row>
    <row r="525">
      <c r="B525" s="52"/>
    </row>
    <row r="526">
      <c r="B526" s="52"/>
    </row>
    <row r="527">
      <c r="B527" s="52"/>
    </row>
    <row r="528">
      <c r="B528" s="52"/>
    </row>
    <row r="529">
      <c r="B529" s="52"/>
    </row>
    <row r="530">
      <c r="B530" s="52"/>
    </row>
    <row r="531">
      <c r="B531" s="52"/>
    </row>
    <row r="532">
      <c r="B532" s="52"/>
    </row>
    <row r="533">
      <c r="B533" s="52"/>
    </row>
    <row r="534">
      <c r="B534" s="52"/>
    </row>
    <row r="535">
      <c r="B535" s="52"/>
    </row>
    <row r="536">
      <c r="B536" s="52"/>
    </row>
    <row r="537">
      <c r="B537" s="52"/>
    </row>
    <row r="538">
      <c r="B538" s="52"/>
    </row>
    <row r="539">
      <c r="B539" s="52"/>
    </row>
    <row r="540">
      <c r="B540" s="52"/>
    </row>
    <row r="541">
      <c r="B541" s="52"/>
    </row>
    <row r="542">
      <c r="B542" s="52"/>
    </row>
    <row r="543">
      <c r="B543" s="52"/>
    </row>
    <row r="544">
      <c r="B544" s="52"/>
    </row>
    <row r="545">
      <c r="B545" s="52"/>
    </row>
    <row r="546">
      <c r="B546" s="52"/>
    </row>
    <row r="547">
      <c r="B547" s="52"/>
    </row>
    <row r="548">
      <c r="B548" s="52"/>
    </row>
    <row r="549">
      <c r="B549" s="52"/>
    </row>
    <row r="550">
      <c r="B550" s="52"/>
    </row>
    <row r="551">
      <c r="B551" s="52"/>
    </row>
    <row r="552">
      <c r="B552" s="52"/>
    </row>
    <row r="553">
      <c r="B553" s="52"/>
    </row>
    <row r="554">
      <c r="B554" s="52"/>
    </row>
    <row r="555">
      <c r="B555" s="52"/>
    </row>
    <row r="556">
      <c r="B556" s="52"/>
    </row>
    <row r="557">
      <c r="B557" s="52"/>
    </row>
    <row r="558">
      <c r="B558" s="52"/>
    </row>
    <row r="559">
      <c r="B559" s="52"/>
    </row>
    <row r="560">
      <c r="B560" s="52"/>
    </row>
    <row r="561">
      <c r="B561" s="52"/>
    </row>
    <row r="562">
      <c r="B562" s="52"/>
    </row>
    <row r="563">
      <c r="B563" s="52"/>
    </row>
    <row r="564">
      <c r="B564" s="52"/>
    </row>
    <row r="565">
      <c r="B565" s="52"/>
    </row>
    <row r="566">
      <c r="B566" s="52"/>
    </row>
    <row r="567">
      <c r="B567" s="52"/>
    </row>
    <row r="568">
      <c r="B568" s="52"/>
    </row>
    <row r="569">
      <c r="B569" s="52"/>
    </row>
    <row r="570">
      <c r="B570" s="52"/>
    </row>
    <row r="571">
      <c r="B571" s="52"/>
    </row>
    <row r="572">
      <c r="B572" s="52"/>
    </row>
    <row r="573">
      <c r="B573" s="52"/>
    </row>
    <row r="574">
      <c r="B574" s="52"/>
    </row>
    <row r="575">
      <c r="B575" s="52"/>
    </row>
    <row r="576">
      <c r="B576" s="52"/>
    </row>
    <row r="577">
      <c r="B577" s="52"/>
    </row>
    <row r="578">
      <c r="B578" s="52"/>
    </row>
    <row r="579">
      <c r="B579" s="52"/>
    </row>
    <row r="580">
      <c r="B580" s="52"/>
    </row>
    <row r="581">
      <c r="B581" s="52"/>
    </row>
    <row r="582">
      <c r="B582" s="52"/>
    </row>
    <row r="583">
      <c r="B583" s="52"/>
    </row>
    <row r="584">
      <c r="B584" s="52"/>
    </row>
    <row r="585">
      <c r="B585" s="52"/>
    </row>
    <row r="586">
      <c r="B586" s="52"/>
    </row>
    <row r="587">
      <c r="B587" s="52"/>
    </row>
    <row r="588">
      <c r="B588" s="52"/>
    </row>
    <row r="589">
      <c r="B589" s="52"/>
    </row>
    <row r="590">
      <c r="B590" s="52"/>
    </row>
    <row r="591">
      <c r="B591" s="52"/>
    </row>
    <row r="592">
      <c r="B592" s="52"/>
    </row>
    <row r="593">
      <c r="B593" s="52"/>
    </row>
    <row r="594">
      <c r="B594" s="52"/>
    </row>
    <row r="595">
      <c r="B595" s="52"/>
    </row>
    <row r="596">
      <c r="B596" s="52"/>
    </row>
    <row r="597">
      <c r="B597" s="52"/>
    </row>
    <row r="598">
      <c r="B598" s="52"/>
    </row>
    <row r="599">
      <c r="B599" s="52"/>
    </row>
    <row r="600">
      <c r="B600" s="52"/>
    </row>
    <row r="601">
      <c r="B601" s="52"/>
    </row>
    <row r="602">
      <c r="B602" s="52"/>
    </row>
    <row r="603">
      <c r="B603" s="52"/>
    </row>
    <row r="604">
      <c r="B604" s="52"/>
    </row>
    <row r="605">
      <c r="B605" s="52"/>
    </row>
    <row r="606">
      <c r="B606" s="52"/>
    </row>
    <row r="607">
      <c r="B607" s="52"/>
    </row>
    <row r="608">
      <c r="B608" s="52"/>
    </row>
    <row r="609">
      <c r="B609" s="52"/>
    </row>
    <row r="610">
      <c r="B610" s="52"/>
    </row>
    <row r="611">
      <c r="B611" s="52"/>
    </row>
    <row r="612">
      <c r="B612" s="52"/>
    </row>
    <row r="613">
      <c r="B613" s="52"/>
    </row>
    <row r="614">
      <c r="B614" s="52"/>
    </row>
    <row r="615">
      <c r="B615" s="52"/>
    </row>
    <row r="616">
      <c r="B616" s="52"/>
    </row>
    <row r="617">
      <c r="B617" s="52"/>
    </row>
    <row r="618">
      <c r="B618" s="52"/>
    </row>
    <row r="619">
      <c r="B619" s="52"/>
    </row>
    <row r="620">
      <c r="B620" s="52"/>
    </row>
    <row r="621">
      <c r="B621" s="52"/>
    </row>
    <row r="622">
      <c r="B622" s="52"/>
    </row>
    <row r="623">
      <c r="B623" s="52"/>
    </row>
    <row r="624">
      <c r="B624" s="52"/>
    </row>
    <row r="625">
      <c r="B625" s="52"/>
    </row>
    <row r="626">
      <c r="B626" s="52"/>
    </row>
    <row r="627">
      <c r="B627" s="52"/>
    </row>
    <row r="628">
      <c r="B628" s="52"/>
    </row>
    <row r="629">
      <c r="B629" s="52"/>
    </row>
    <row r="630">
      <c r="B630" s="52"/>
    </row>
    <row r="631">
      <c r="B631" s="52"/>
    </row>
    <row r="632">
      <c r="B632" s="52"/>
    </row>
    <row r="633">
      <c r="B633" s="52"/>
    </row>
    <row r="634">
      <c r="B634" s="52"/>
    </row>
    <row r="635">
      <c r="B635" s="52"/>
    </row>
    <row r="636">
      <c r="B636" s="52"/>
    </row>
    <row r="637">
      <c r="B637" s="52"/>
    </row>
    <row r="638">
      <c r="B638" s="52"/>
    </row>
    <row r="639">
      <c r="B639" s="52"/>
    </row>
    <row r="640">
      <c r="B640" s="52"/>
    </row>
    <row r="641">
      <c r="B641" s="52"/>
    </row>
    <row r="642">
      <c r="B642" s="52"/>
    </row>
    <row r="643">
      <c r="B643" s="52"/>
    </row>
    <row r="644">
      <c r="B644" s="52"/>
    </row>
    <row r="645">
      <c r="B645" s="52"/>
    </row>
    <row r="646">
      <c r="B646" s="52"/>
    </row>
    <row r="647">
      <c r="B647" s="52"/>
    </row>
    <row r="648">
      <c r="B648" s="52"/>
    </row>
    <row r="649">
      <c r="B649" s="52"/>
    </row>
    <row r="650">
      <c r="B650" s="52"/>
    </row>
    <row r="651">
      <c r="B651" s="52"/>
    </row>
    <row r="652">
      <c r="B652" s="52"/>
    </row>
    <row r="653">
      <c r="B653" s="52"/>
    </row>
    <row r="654">
      <c r="B654" s="52"/>
    </row>
    <row r="655">
      <c r="B655" s="52"/>
    </row>
    <row r="656">
      <c r="B656" s="52"/>
    </row>
    <row r="657">
      <c r="B657" s="52"/>
    </row>
    <row r="658">
      <c r="B658" s="52"/>
    </row>
    <row r="659">
      <c r="B659" s="52"/>
    </row>
    <row r="660">
      <c r="B660" s="52"/>
    </row>
    <row r="661">
      <c r="B661" s="52"/>
    </row>
    <row r="662">
      <c r="B662" s="52"/>
    </row>
    <row r="663">
      <c r="B663" s="52"/>
    </row>
    <row r="664">
      <c r="B664" s="52"/>
    </row>
    <row r="665">
      <c r="B665" s="52"/>
    </row>
    <row r="666">
      <c r="B666" s="52"/>
    </row>
    <row r="667">
      <c r="B667" s="52"/>
    </row>
    <row r="668">
      <c r="B668" s="52"/>
    </row>
    <row r="669">
      <c r="B669" s="52"/>
    </row>
    <row r="670">
      <c r="B670" s="52"/>
    </row>
    <row r="671">
      <c r="B671" s="52"/>
    </row>
    <row r="672">
      <c r="B672" s="52"/>
    </row>
    <row r="673">
      <c r="B673" s="52"/>
    </row>
    <row r="674">
      <c r="B674" s="52"/>
    </row>
    <row r="675">
      <c r="B675" s="52"/>
    </row>
    <row r="676">
      <c r="B676" s="52"/>
    </row>
    <row r="677">
      <c r="B677" s="52"/>
    </row>
    <row r="678">
      <c r="B678" s="52"/>
    </row>
    <row r="679">
      <c r="B679" s="52"/>
    </row>
    <row r="680">
      <c r="B680" s="52"/>
    </row>
    <row r="681">
      <c r="B681" s="52"/>
    </row>
    <row r="682">
      <c r="B682" s="52"/>
    </row>
    <row r="683">
      <c r="B683" s="52"/>
    </row>
    <row r="684">
      <c r="B684" s="52"/>
    </row>
    <row r="685">
      <c r="B685" s="52"/>
    </row>
    <row r="686">
      <c r="B686" s="52"/>
    </row>
    <row r="687">
      <c r="B687" s="52"/>
    </row>
    <row r="688">
      <c r="B688" s="52"/>
    </row>
    <row r="689">
      <c r="B689" s="52"/>
    </row>
    <row r="690">
      <c r="B690" s="52"/>
    </row>
    <row r="691">
      <c r="B691" s="52"/>
    </row>
    <row r="692">
      <c r="B692" s="52"/>
    </row>
    <row r="693">
      <c r="B693" s="52"/>
    </row>
    <row r="694">
      <c r="B694" s="52"/>
    </row>
    <row r="695">
      <c r="B695" s="52"/>
    </row>
    <row r="696">
      <c r="B696" s="52"/>
    </row>
    <row r="697">
      <c r="B697" s="52"/>
    </row>
    <row r="698">
      <c r="B698" s="52"/>
    </row>
    <row r="699">
      <c r="B699" s="52"/>
    </row>
    <row r="700">
      <c r="B700" s="52"/>
    </row>
    <row r="701">
      <c r="B701" s="52"/>
    </row>
    <row r="702">
      <c r="B702" s="52"/>
    </row>
    <row r="703">
      <c r="B703" s="52"/>
    </row>
    <row r="704">
      <c r="B704" s="52"/>
    </row>
    <row r="705">
      <c r="B705" s="52"/>
    </row>
    <row r="706">
      <c r="B706" s="52"/>
    </row>
    <row r="707">
      <c r="B707" s="52"/>
    </row>
    <row r="708">
      <c r="B708" s="52"/>
    </row>
    <row r="709">
      <c r="B709" s="52"/>
    </row>
    <row r="710">
      <c r="B710" s="52"/>
    </row>
    <row r="711">
      <c r="B711" s="52"/>
    </row>
    <row r="712">
      <c r="B712" s="52"/>
    </row>
    <row r="713">
      <c r="B713" s="52"/>
    </row>
    <row r="714">
      <c r="B714" s="52"/>
    </row>
    <row r="715">
      <c r="B715" s="52"/>
    </row>
    <row r="716">
      <c r="B716" s="52"/>
    </row>
    <row r="717">
      <c r="B717" s="52"/>
    </row>
    <row r="718">
      <c r="B718" s="52"/>
    </row>
    <row r="719">
      <c r="B719" s="52"/>
    </row>
    <row r="720">
      <c r="B720" s="52"/>
    </row>
    <row r="721">
      <c r="B721" s="52"/>
    </row>
    <row r="722">
      <c r="B722" s="52"/>
    </row>
    <row r="723">
      <c r="B723" s="52"/>
    </row>
    <row r="724">
      <c r="B724" s="52"/>
    </row>
    <row r="725">
      <c r="B725" s="52"/>
    </row>
    <row r="726">
      <c r="B726" s="52"/>
    </row>
    <row r="727">
      <c r="B727" s="52"/>
    </row>
    <row r="728">
      <c r="B728" s="52"/>
    </row>
    <row r="729">
      <c r="B729" s="52"/>
    </row>
    <row r="730">
      <c r="B730" s="52"/>
    </row>
    <row r="731">
      <c r="B731" s="52"/>
    </row>
    <row r="732">
      <c r="B732" s="52"/>
    </row>
    <row r="733">
      <c r="B733" s="52"/>
    </row>
    <row r="734">
      <c r="B734" s="52"/>
    </row>
    <row r="735">
      <c r="B735" s="52"/>
    </row>
    <row r="736">
      <c r="B736" s="52"/>
    </row>
    <row r="737">
      <c r="B737" s="52"/>
    </row>
    <row r="738">
      <c r="B738" s="52"/>
    </row>
    <row r="739">
      <c r="B739" s="52"/>
    </row>
    <row r="740">
      <c r="B740" s="52"/>
    </row>
    <row r="741">
      <c r="B741" s="52"/>
    </row>
    <row r="742">
      <c r="B742" s="52"/>
    </row>
    <row r="743">
      <c r="B743" s="52"/>
    </row>
    <row r="744">
      <c r="B744" s="52"/>
    </row>
    <row r="745">
      <c r="B745" s="52"/>
    </row>
    <row r="746">
      <c r="B746" s="52"/>
    </row>
    <row r="747">
      <c r="B747" s="52"/>
    </row>
    <row r="748">
      <c r="B748" s="52"/>
    </row>
    <row r="749">
      <c r="B749" s="52"/>
    </row>
    <row r="750">
      <c r="B750" s="52"/>
    </row>
    <row r="751">
      <c r="B751" s="52"/>
    </row>
    <row r="752">
      <c r="B752" s="52"/>
    </row>
    <row r="753">
      <c r="B753" s="52"/>
    </row>
    <row r="754">
      <c r="B754" s="52"/>
    </row>
    <row r="755">
      <c r="B755" s="52"/>
    </row>
    <row r="756">
      <c r="B756" s="52"/>
    </row>
    <row r="757">
      <c r="B757" s="52"/>
    </row>
    <row r="758">
      <c r="B758" s="52"/>
    </row>
    <row r="759">
      <c r="B759" s="52"/>
    </row>
    <row r="760">
      <c r="B760" s="52"/>
    </row>
    <row r="761">
      <c r="B761" s="52"/>
    </row>
    <row r="762">
      <c r="B762" s="52"/>
    </row>
    <row r="763">
      <c r="B763" s="52"/>
    </row>
    <row r="764">
      <c r="B764" s="52"/>
    </row>
    <row r="765">
      <c r="B765" s="52"/>
    </row>
    <row r="766">
      <c r="B766" s="52"/>
    </row>
    <row r="767">
      <c r="B767" s="52"/>
    </row>
    <row r="768">
      <c r="B768" s="52"/>
    </row>
    <row r="769">
      <c r="B769" s="52"/>
    </row>
    <row r="770">
      <c r="B770" s="52"/>
    </row>
    <row r="771">
      <c r="B771" s="52"/>
    </row>
    <row r="772">
      <c r="B772" s="52"/>
    </row>
    <row r="773">
      <c r="B773" s="52"/>
    </row>
    <row r="774">
      <c r="B774" s="52"/>
    </row>
    <row r="775">
      <c r="B775" s="52"/>
    </row>
    <row r="776">
      <c r="B776" s="52"/>
    </row>
    <row r="777">
      <c r="B777" s="52"/>
    </row>
    <row r="778">
      <c r="B778" s="52"/>
    </row>
    <row r="779">
      <c r="B779" s="52"/>
    </row>
    <row r="780">
      <c r="B780" s="52"/>
    </row>
    <row r="781">
      <c r="B781" s="52"/>
    </row>
    <row r="782">
      <c r="B782" s="52"/>
    </row>
    <row r="783">
      <c r="B783" s="52"/>
    </row>
    <row r="784">
      <c r="B784" s="52"/>
    </row>
    <row r="785">
      <c r="B785" s="52"/>
    </row>
    <row r="786">
      <c r="B786" s="52"/>
    </row>
    <row r="787">
      <c r="B787" s="52"/>
    </row>
    <row r="788">
      <c r="B788" s="52"/>
    </row>
    <row r="789">
      <c r="B789" s="52"/>
    </row>
    <row r="790">
      <c r="B790" s="52"/>
    </row>
    <row r="791">
      <c r="B791" s="52"/>
    </row>
    <row r="792">
      <c r="B792" s="52"/>
    </row>
    <row r="793">
      <c r="B793" s="52"/>
    </row>
    <row r="794">
      <c r="B794" s="52"/>
    </row>
    <row r="795">
      <c r="B795" s="52"/>
    </row>
    <row r="796">
      <c r="B796" s="52"/>
    </row>
    <row r="797">
      <c r="B797" s="52"/>
    </row>
    <row r="798">
      <c r="B798" s="52"/>
    </row>
    <row r="799">
      <c r="B799" s="52"/>
    </row>
    <row r="800">
      <c r="B800" s="52"/>
    </row>
    <row r="801">
      <c r="B801" s="52"/>
    </row>
    <row r="802">
      <c r="B802" s="52"/>
    </row>
    <row r="803">
      <c r="B803" s="52"/>
    </row>
    <row r="804">
      <c r="B804" s="52"/>
    </row>
    <row r="805">
      <c r="B805" s="52"/>
    </row>
    <row r="806">
      <c r="B806" s="52"/>
    </row>
    <row r="807">
      <c r="B807" s="52"/>
    </row>
    <row r="808">
      <c r="B808" s="52"/>
    </row>
    <row r="809">
      <c r="B809" s="52"/>
    </row>
    <row r="810">
      <c r="B810" s="52"/>
    </row>
    <row r="811">
      <c r="B811" s="52"/>
    </row>
    <row r="812">
      <c r="B812" s="52"/>
    </row>
    <row r="813">
      <c r="B813" s="52"/>
    </row>
    <row r="814">
      <c r="B814" s="52"/>
    </row>
    <row r="815">
      <c r="B815" s="52"/>
    </row>
    <row r="816">
      <c r="B816" s="52"/>
    </row>
    <row r="817">
      <c r="B817" s="52"/>
    </row>
    <row r="818">
      <c r="B818" s="52"/>
    </row>
    <row r="819">
      <c r="B819" s="52"/>
    </row>
    <row r="820">
      <c r="B820" s="52"/>
    </row>
    <row r="821">
      <c r="B821" s="52"/>
    </row>
    <row r="822">
      <c r="B822" s="52"/>
    </row>
    <row r="823">
      <c r="B823" s="52"/>
    </row>
    <row r="824">
      <c r="B824" s="52"/>
    </row>
    <row r="825">
      <c r="B825" s="52"/>
    </row>
    <row r="826">
      <c r="B826" s="52"/>
    </row>
    <row r="827">
      <c r="B827" s="52"/>
    </row>
    <row r="828">
      <c r="B828" s="52"/>
    </row>
    <row r="829">
      <c r="B829" s="52"/>
    </row>
    <row r="830">
      <c r="B830" s="52"/>
    </row>
    <row r="831">
      <c r="B831" s="52"/>
    </row>
    <row r="832">
      <c r="B832" s="52"/>
    </row>
    <row r="833">
      <c r="B833" s="52"/>
    </row>
    <row r="834">
      <c r="B834" s="52"/>
    </row>
    <row r="835">
      <c r="B835" s="52"/>
    </row>
    <row r="836">
      <c r="B836" s="52"/>
    </row>
    <row r="837">
      <c r="B837" s="52"/>
    </row>
    <row r="838">
      <c r="B838" s="52"/>
    </row>
    <row r="839">
      <c r="B839" s="52"/>
    </row>
    <row r="840">
      <c r="B840" s="52"/>
    </row>
    <row r="841">
      <c r="B841" s="52"/>
    </row>
    <row r="842">
      <c r="B842" s="52"/>
    </row>
    <row r="843">
      <c r="B843" s="52"/>
    </row>
    <row r="844">
      <c r="B844" s="52"/>
    </row>
    <row r="845">
      <c r="B845" s="52"/>
    </row>
    <row r="846">
      <c r="B846" s="52"/>
    </row>
    <row r="847">
      <c r="B847" s="52"/>
    </row>
    <row r="848">
      <c r="B848" s="52"/>
    </row>
    <row r="849">
      <c r="B849" s="52"/>
    </row>
    <row r="850">
      <c r="B850" s="52"/>
    </row>
    <row r="851">
      <c r="B851" s="52"/>
    </row>
    <row r="852">
      <c r="B852" s="52"/>
    </row>
    <row r="853">
      <c r="B853" s="52"/>
    </row>
    <row r="854">
      <c r="B854" s="52"/>
    </row>
    <row r="855">
      <c r="B855" s="52"/>
    </row>
    <row r="856">
      <c r="B856" s="52"/>
    </row>
    <row r="857">
      <c r="B857" s="52"/>
    </row>
    <row r="858">
      <c r="B858" s="52"/>
    </row>
    <row r="859">
      <c r="B859" s="52"/>
    </row>
    <row r="860">
      <c r="B860" s="52"/>
    </row>
    <row r="861">
      <c r="B861" s="52"/>
    </row>
    <row r="862">
      <c r="B862" s="52"/>
    </row>
    <row r="863">
      <c r="B863" s="52"/>
    </row>
    <row r="864">
      <c r="B864" s="52"/>
    </row>
    <row r="865">
      <c r="B865" s="52"/>
    </row>
    <row r="866">
      <c r="B866" s="52"/>
    </row>
    <row r="867">
      <c r="B867" s="52"/>
    </row>
    <row r="868">
      <c r="B868" s="52"/>
    </row>
    <row r="869">
      <c r="B869" s="52"/>
    </row>
    <row r="870">
      <c r="B870" s="52"/>
    </row>
    <row r="871">
      <c r="B871" s="52"/>
    </row>
    <row r="872">
      <c r="B872" s="52"/>
    </row>
    <row r="873">
      <c r="B873" s="52"/>
    </row>
    <row r="874">
      <c r="B874" s="52"/>
    </row>
    <row r="875">
      <c r="B875" s="52"/>
    </row>
    <row r="876">
      <c r="B876" s="52"/>
    </row>
    <row r="877">
      <c r="B877" s="52"/>
    </row>
    <row r="878">
      <c r="B878" s="52"/>
    </row>
    <row r="879">
      <c r="B879" s="52"/>
    </row>
    <row r="880">
      <c r="B880" s="52"/>
    </row>
    <row r="881">
      <c r="B881" s="52"/>
    </row>
    <row r="882">
      <c r="B882" s="52"/>
    </row>
    <row r="883">
      <c r="B883" s="52"/>
    </row>
    <row r="884">
      <c r="B884" s="52"/>
    </row>
    <row r="885">
      <c r="B885" s="52"/>
    </row>
    <row r="886">
      <c r="B886" s="52"/>
    </row>
    <row r="887">
      <c r="B887" s="52"/>
    </row>
    <row r="888">
      <c r="B888" s="52"/>
    </row>
    <row r="889">
      <c r="B889" s="52"/>
    </row>
    <row r="890">
      <c r="B890" s="52"/>
    </row>
    <row r="891">
      <c r="B891" s="52"/>
    </row>
    <row r="892">
      <c r="B892" s="52"/>
    </row>
    <row r="893">
      <c r="B893" s="52"/>
    </row>
    <row r="894">
      <c r="B894" s="52"/>
    </row>
    <row r="895">
      <c r="B895" s="52"/>
    </row>
    <row r="896">
      <c r="B896" s="52"/>
    </row>
    <row r="897">
      <c r="B897" s="52"/>
    </row>
    <row r="898">
      <c r="B898" s="52"/>
    </row>
    <row r="899">
      <c r="B899" s="52"/>
    </row>
    <row r="900">
      <c r="B900" s="52"/>
    </row>
    <row r="901">
      <c r="B901" s="52"/>
    </row>
    <row r="902">
      <c r="B902" s="52"/>
    </row>
    <row r="903">
      <c r="B903" s="52"/>
    </row>
    <row r="904">
      <c r="B904" s="52"/>
    </row>
    <row r="905">
      <c r="B905" s="52"/>
    </row>
    <row r="906">
      <c r="B906" s="52"/>
    </row>
    <row r="907">
      <c r="B907" s="52"/>
    </row>
    <row r="908">
      <c r="B908" s="52"/>
    </row>
    <row r="909">
      <c r="B909" s="52"/>
    </row>
    <row r="910">
      <c r="B910" s="52"/>
    </row>
    <row r="911">
      <c r="B911" s="52"/>
    </row>
    <row r="912">
      <c r="B912" s="52"/>
    </row>
    <row r="913">
      <c r="B913" s="52"/>
    </row>
    <row r="914">
      <c r="B914" s="52"/>
    </row>
    <row r="915">
      <c r="B915" s="52"/>
    </row>
    <row r="916">
      <c r="B916" s="52"/>
    </row>
    <row r="917">
      <c r="B917" s="52"/>
    </row>
    <row r="918">
      <c r="B918" s="52"/>
    </row>
    <row r="919">
      <c r="B919" s="52"/>
    </row>
    <row r="920">
      <c r="B920" s="52"/>
    </row>
    <row r="921">
      <c r="B921" s="52"/>
    </row>
    <row r="922">
      <c r="B922" s="52"/>
    </row>
    <row r="923">
      <c r="B923" s="52"/>
    </row>
    <row r="924">
      <c r="B924" s="52"/>
    </row>
    <row r="925">
      <c r="B925" s="52"/>
    </row>
    <row r="926">
      <c r="B926" s="52"/>
    </row>
    <row r="927">
      <c r="B927" s="52"/>
    </row>
    <row r="928">
      <c r="B928" s="52"/>
    </row>
    <row r="929">
      <c r="B929" s="52"/>
    </row>
    <row r="930">
      <c r="B930" s="52"/>
    </row>
    <row r="931">
      <c r="B931" s="52"/>
    </row>
    <row r="932">
      <c r="B932" s="52"/>
    </row>
    <row r="933">
      <c r="B933" s="52"/>
    </row>
    <row r="934">
      <c r="B934" s="52"/>
    </row>
    <row r="935">
      <c r="B935" s="52"/>
    </row>
    <row r="936">
      <c r="B936" s="52"/>
    </row>
    <row r="937">
      <c r="B937" s="52"/>
    </row>
    <row r="938">
      <c r="B938" s="52"/>
    </row>
    <row r="939">
      <c r="B939" s="52"/>
    </row>
    <row r="940">
      <c r="B940" s="52"/>
    </row>
    <row r="941">
      <c r="B941" s="52"/>
    </row>
    <row r="942">
      <c r="B942" s="52"/>
    </row>
    <row r="943">
      <c r="B943" s="52"/>
    </row>
    <row r="944">
      <c r="B944" s="52"/>
    </row>
    <row r="945">
      <c r="B945" s="52"/>
    </row>
    <row r="946">
      <c r="B946" s="52"/>
    </row>
    <row r="947">
      <c r="B947" s="52"/>
    </row>
    <row r="948">
      <c r="B948" s="52"/>
    </row>
    <row r="949">
      <c r="B949" s="52"/>
    </row>
    <row r="950">
      <c r="B950" s="52"/>
    </row>
    <row r="951">
      <c r="B951" s="52"/>
    </row>
    <row r="952">
      <c r="B952" s="52"/>
    </row>
    <row r="953">
      <c r="B953" s="52"/>
    </row>
    <row r="954">
      <c r="B954" s="52"/>
    </row>
    <row r="955">
      <c r="B955" s="52"/>
    </row>
    <row r="956">
      <c r="B956" s="52"/>
    </row>
    <row r="957">
      <c r="B957" s="52"/>
    </row>
    <row r="958">
      <c r="B958" s="52"/>
    </row>
    <row r="959">
      <c r="B959" s="52"/>
    </row>
    <row r="960">
      <c r="B960" s="52"/>
    </row>
    <row r="961">
      <c r="B961" s="52"/>
    </row>
    <row r="962">
      <c r="B962" s="52"/>
    </row>
    <row r="963">
      <c r="B963" s="52"/>
    </row>
    <row r="964">
      <c r="B964" s="52"/>
    </row>
    <row r="965">
      <c r="B965" s="52"/>
    </row>
    <row r="966">
      <c r="B966" s="52"/>
    </row>
    <row r="967">
      <c r="B967" s="52"/>
    </row>
    <row r="968">
      <c r="B968" s="52"/>
    </row>
    <row r="969">
      <c r="B969" s="52"/>
    </row>
    <row r="970">
      <c r="B970" s="52"/>
    </row>
    <row r="971">
      <c r="B971" s="52"/>
    </row>
    <row r="972">
      <c r="B972" s="52"/>
    </row>
    <row r="973">
      <c r="B973" s="52"/>
    </row>
    <row r="974">
      <c r="B974" s="52"/>
    </row>
    <row r="975">
      <c r="B975" s="52"/>
    </row>
    <row r="976">
      <c r="B976" s="52"/>
    </row>
    <row r="977">
      <c r="B977" s="52"/>
    </row>
    <row r="978">
      <c r="B978" s="52"/>
    </row>
    <row r="979">
      <c r="B979" s="52"/>
    </row>
    <row r="980">
      <c r="B980" s="52"/>
    </row>
    <row r="981">
      <c r="B981" s="52"/>
    </row>
    <row r="982">
      <c r="B982" s="52"/>
    </row>
    <row r="983">
      <c r="B983" s="52"/>
    </row>
    <row r="984">
      <c r="B984" s="52"/>
    </row>
    <row r="985">
      <c r="B985" s="52"/>
    </row>
    <row r="986">
      <c r="B986" s="52"/>
    </row>
    <row r="987">
      <c r="B987" s="52"/>
    </row>
    <row r="988">
      <c r="B988" s="52"/>
    </row>
    <row r="989">
      <c r="B989" s="52"/>
    </row>
    <row r="990">
      <c r="B990" s="52"/>
    </row>
    <row r="991">
      <c r="B991" s="52"/>
    </row>
    <row r="992">
      <c r="B992" s="52"/>
    </row>
    <row r="993">
      <c r="B993" s="52"/>
    </row>
    <row r="994">
      <c r="B994" s="52"/>
    </row>
    <row r="995">
      <c r="B995" s="52"/>
    </row>
    <row r="996">
      <c r="B996" s="52"/>
    </row>
    <row r="997">
      <c r="B997" s="52"/>
    </row>
    <row r="998">
      <c r="B998" s="52"/>
    </row>
    <row r="999">
      <c r="B999" s="52"/>
    </row>
    <row r="1000">
      <c r="B1000" s="52"/>
    </row>
    <row r="1001">
      <c r="B1001" s="52"/>
    </row>
    <row r="1002">
      <c r="B1002" s="52"/>
    </row>
  </sheetData>
  <mergeCells count="1">
    <mergeCell ref="B1:G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3.5"/>
    <col customWidth="1" min="2" max="2" width="29.25"/>
    <col customWidth="1" min="3" max="3" width="13.75"/>
    <col customWidth="1" min="4" max="4" width="16.75"/>
    <col customWidth="1" min="5" max="6" width="13.75"/>
  </cols>
  <sheetData>
    <row r="1">
      <c r="B1" s="3" t="s">
        <v>2</v>
      </c>
    </row>
    <row r="2">
      <c r="A2" s="1" t="s">
        <v>5</v>
      </c>
      <c r="B2" s="7" t="s">
        <v>7</v>
      </c>
      <c r="C2" s="9" t="s">
        <v>9</v>
      </c>
      <c r="D2" s="10" t="s">
        <v>11</v>
      </c>
      <c r="E2" s="11" t="s">
        <v>13</v>
      </c>
      <c r="F2" s="13" t="s">
        <v>15</v>
      </c>
      <c r="G2" s="15" t="s">
        <v>17</v>
      </c>
    </row>
    <row r="3">
      <c r="A3" s="17" t="s">
        <v>20</v>
      </c>
      <c r="B3" s="19" t="s">
        <v>23</v>
      </c>
      <c r="C3" s="19" t="s">
        <v>26</v>
      </c>
      <c r="D3" s="19" t="s">
        <v>27</v>
      </c>
      <c r="E3" s="19" t="s">
        <v>28</v>
      </c>
      <c r="F3" s="19">
        <v>1.35</v>
      </c>
      <c r="G3" s="19">
        <v>1.5</v>
      </c>
    </row>
    <row r="4">
      <c r="A4" s="17" t="s">
        <v>29</v>
      </c>
      <c r="B4" s="19" t="s">
        <v>23</v>
      </c>
      <c r="C4" s="19" t="s">
        <v>26</v>
      </c>
      <c r="D4" s="19" t="s">
        <v>27</v>
      </c>
      <c r="E4" s="19" t="s">
        <v>28</v>
      </c>
      <c r="F4" s="19">
        <v>1.35</v>
      </c>
      <c r="G4" s="19">
        <v>1.5</v>
      </c>
    </row>
    <row r="5">
      <c r="A5" s="26" t="s">
        <v>34</v>
      </c>
      <c r="B5" s="19" t="s">
        <v>27</v>
      </c>
      <c r="C5" s="19" t="s">
        <v>36</v>
      </c>
      <c r="D5" s="19" t="s">
        <v>37</v>
      </c>
      <c r="E5" s="19" t="s">
        <v>30</v>
      </c>
      <c r="F5" s="19">
        <v>1.75</v>
      </c>
      <c r="G5" s="30"/>
    </row>
    <row r="6">
      <c r="A6" s="26" t="s">
        <v>41</v>
      </c>
      <c r="B6" s="19" t="s">
        <v>27</v>
      </c>
      <c r="C6" s="19" t="s">
        <v>36</v>
      </c>
      <c r="D6" s="19" t="s">
        <v>37</v>
      </c>
      <c r="E6" s="19" t="s">
        <v>30</v>
      </c>
      <c r="F6" s="19">
        <v>1.75</v>
      </c>
      <c r="G6" s="30"/>
    </row>
    <row r="7">
      <c r="A7" s="26" t="s">
        <v>47</v>
      </c>
      <c r="B7" s="19" t="s">
        <v>42</v>
      </c>
      <c r="C7" s="19" t="s">
        <v>49</v>
      </c>
      <c r="D7" s="19" t="s">
        <v>51</v>
      </c>
      <c r="E7" s="19" t="s">
        <v>44</v>
      </c>
      <c r="F7" s="19" t="s">
        <v>45</v>
      </c>
      <c r="G7" s="30"/>
    </row>
    <row r="8">
      <c r="A8" s="26" t="s">
        <v>53</v>
      </c>
      <c r="B8" s="19" t="s">
        <v>42</v>
      </c>
      <c r="C8" s="19" t="s">
        <v>49</v>
      </c>
      <c r="D8" s="19" t="s">
        <v>51</v>
      </c>
      <c r="E8" s="19" t="s">
        <v>44</v>
      </c>
      <c r="F8" s="19" t="s">
        <v>45</v>
      </c>
      <c r="G8" s="30"/>
    </row>
    <row r="9">
      <c r="A9" s="21" t="s">
        <v>58</v>
      </c>
      <c r="B9" s="39"/>
      <c r="C9" s="19" t="s">
        <v>61</v>
      </c>
      <c r="D9" s="19" t="s">
        <v>62</v>
      </c>
      <c r="E9" s="19" t="s">
        <v>63</v>
      </c>
      <c r="F9" s="19" t="s">
        <v>64</v>
      </c>
      <c r="G9" s="30"/>
    </row>
    <row r="10">
      <c r="A10" s="21" t="s">
        <v>65</v>
      </c>
      <c r="B10" s="41"/>
      <c r="C10" s="19" t="s">
        <v>61</v>
      </c>
      <c r="D10" s="19" t="s">
        <v>62</v>
      </c>
      <c r="E10" s="19" t="s">
        <v>63</v>
      </c>
      <c r="F10" s="19" t="s">
        <v>64</v>
      </c>
      <c r="G10" s="30"/>
    </row>
    <row r="11">
      <c r="A11" s="4" t="s">
        <v>72</v>
      </c>
      <c r="B11" s="41"/>
      <c r="C11" s="19" t="s">
        <v>74</v>
      </c>
      <c r="D11" s="19" t="s">
        <v>75</v>
      </c>
      <c r="E11" s="19" t="s">
        <v>76</v>
      </c>
      <c r="F11" s="19" t="s">
        <v>77</v>
      </c>
      <c r="G11" s="19" t="s">
        <v>78</v>
      </c>
    </row>
    <row r="12">
      <c r="A12" s="4" t="s">
        <v>79</v>
      </c>
      <c r="B12" s="41"/>
      <c r="C12" s="19" t="s">
        <v>74</v>
      </c>
      <c r="D12" s="19" t="s">
        <v>75</v>
      </c>
      <c r="E12" s="19" t="s">
        <v>76</v>
      </c>
      <c r="F12" s="19" t="s">
        <v>77</v>
      </c>
      <c r="G12" s="19" t="s">
        <v>78</v>
      </c>
    </row>
    <row r="13">
      <c r="A13" s="35" t="s">
        <v>83</v>
      </c>
      <c r="B13" s="49"/>
      <c r="C13" s="19" t="s">
        <v>88</v>
      </c>
      <c r="D13" s="19" t="s">
        <v>90</v>
      </c>
      <c r="E13" s="19" t="s">
        <v>92</v>
      </c>
      <c r="F13" s="19" t="s">
        <v>95</v>
      </c>
      <c r="G13" s="30"/>
    </row>
    <row r="14">
      <c r="A14" s="35" t="s">
        <v>96</v>
      </c>
      <c r="B14" s="51"/>
      <c r="C14" s="19" t="s">
        <v>88</v>
      </c>
      <c r="D14" s="19" t="s">
        <v>90</v>
      </c>
      <c r="E14" s="19" t="s">
        <v>92</v>
      </c>
      <c r="F14" s="19" t="s">
        <v>95</v>
      </c>
      <c r="G14" s="52"/>
    </row>
    <row r="15">
      <c r="A15" s="35" t="s">
        <v>99</v>
      </c>
      <c r="B15" s="51"/>
      <c r="C15" s="51"/>
      <c r="D15" s="51"/>
      <c r="E15" s="19" t="s">
        <v>31</v>
      </c>
      <c r="F15" s="55">
        <v>2.5</v>
      </c>
      <c r="G15" s="52"/>
    </row>
    <row r="16">
      <c r="A16" s="35" t="s">
        <v>102</v>
      </c>
      <c r="B16" s="51"/>
      <c r="C16" s="57"/>
      <c r="D16" s="57"/>
      <c r="E16" s="19" t="s">
        <v>31</v>
      </c>
      <c r="F16" s="8">
        <v>2.5</v>
      </c>
    </row>
    <row r="17">
      <c r="A17" s="35" t="s">
        <v>103</v>
      </c>
      <c r="B17" s="51"/>
      <c r="C17" s="57"/>
      <c r="D17" s="57"/>
      <c r="E17" s="8" t="s">
        <v>104</v>
      </c>
      <c r="F17" s="8">
        <v>3.0</v>
      </c>
    </row>
    <row r="18">
      <c r="A18" s="35" t="s">
        <v>106</v>
      </c>
      <c r="B18" s="51"/>
      <c r="C18" s="57"/>
      <c r="D18" s="57"/>
      <c r="E18" s="8" t="s">
        <v>104</v>
      </c>
      <c r="F18" s="8">
        <v>3.0</v>
      </c>
    </row>
    <row r="19">
      <c r="B19" s="52"/>
    </row>
    <row r="20">
      <c r="B20" s="52"/>
    </row>
    <row r="21">
      <c r="A21" s="61"/>
      <c r="B21" s="52"/>
    </row>
    <row r="22">
      <c r="A22" s="62"/>
      <c r="B22" s="52"/>
    </row>
    <row r="23">
      <c r="A23" s="61"/>
      <c r="B23" s="52"/>
    </row>
    <row r="24">
      <c r="B24" s="52"/>
    </row>
    <row r="25">
      <c r="B25" s="52"/>
    </row>
    <row r="26">
      <c r="B26" s="52"/>
    </row>
    <row r="27">
      <c r="B27" s="52"/>
    </row>
    <row r="28">
      <c r="B28" s="52"/>
    </row>
    <row r="29">
      <c r="B29" s="52"/>
    </row>
    <row r="30">
      <c r="B30" s="52"/>
    </row>
    <row r="31">
      <c r="B31" s="52"/>
    </row>
    <row r="32">
      <c r="B32" s="52"/>
    </row>
    <row r="33">
      <c r="B33" s="52"/>
    </row>
    <row r="34">
      <c r="B34" s="52"/>
    </row>
    <row r="35">
      <c r="B35" s="52"/>
    </row>
    <row r="36">
      <c r="B36" s="52"/>
    </row>
    <row r="37">
      <c r="B37" s="52"/>
    </row>
    <row r="38">
      <c r="B38" s="52"/>
    </row>
    <row r="39">
      <c r="B39" s="52"/>
    </row>
    <row r="40">
      <c r="B40" s="52"/>
    </row>
    <row r="41">
      <c r="B41" s="52"/>
    </row>
    <row r="42">
      <c r="B42" s="52"/>
    </row>
    <row r="43">
      <c r="B43" s="52"/>
    </row>
    <row r="44">
      <c r="B44" s="52"/>
    </row>
    <row r="45">
      <c r="B45" s="52"/>
    </row>
    <row r="46">
      <c r="B46" s="52"/>
    </row>
    <row r="47">
      <c r="B47" s="52"/>
    </row>
    <row r="48">
      <c r="B48" s="52"/>
    </row>
    <row r="49">
      <c r="B49" s="52"/>
    </row>
    <row r="50">
      <c r="B50" s="52"/>
    </row>
    <row r="51">
      <c r="B51" s="52"/>
    </row>
    <row r="52">
      <c r="B52" s="52"/>
    </row>
    <row r="53">
      <c r="B53" s="52"/>
    </row>
    <row r="54">
      <c r="B54" s="52"/>
    </row>
    <row r="55">
      <c r="B55" s="52"/>
    </row>
    <row r="56">
      <c r="B56" s="52"/>
    </row>
    <row r="57">
      <c r="B57" s="52"/>
    </row>
    <row r="58">
      <c r="B58" s="52"/>
    </row>
    <row r="59">
      <c r="B59" s="52"/>
    </row>
    <row r="60">
      <c r="B60" s="52"/>
    </row>
    <row r="61">
      <c r="B61" s="52"/>
    </row>
    <row r="62">
      <c r="B62" s="52"/>
    </row>
    <row r="63">
      <c r="B63" s="52"/>
    </row>
    <row r="64">
      <c r="B64" s="52"/>
    </row>
    <row r="65">
      <c r="B65" s="52"/>
    </row>
    <row r="66">
      <c r="B66" s="52"/>
    </row>
    <row r="67">
      <c r="B67" s="52"/>
    </row>
    <row r="68">
      <c r="B68" s="52"/>
    </row>
    <row r="69">
      <c r="B69" s="52"/>
    </row>
    <row r="70">
      <c r="B70" s="52"/>
    </row>
    <row r="71">
      <c r="B71" s="52"/>
    </row>
    <row r="72">
      <c r="B72" s="52"/>
    </row>
    <row r="73">
      <c r="B73" s="52"/>
    </row>
    <row r="74">
      <c r="B74" s="52"/>
    </row>
    <row r="75">
      <c r="B75" s="52"/>
    </row>
    <row r="76">
      <c r="B76" s="52"/>
    </row>
    <row r="77">
      <c r="B77" s="52"/>
    </row>
    <row r="78">
      <c r="B78" s="52"/>
    </row>
    <row r="79">
      <c r="B79" s="52"/>
    </row>
    <row r="80">
      <c r="B80" s="52"/>
    </row>
    <row r="81">
      <c r="B81" s="52"/>
    </row>
    <row r="82">
      <c r="B82" s="52"/>
    </row>
    <row r="83">
      <c r="B83" s="52"/>
    </row>
    <row r="84">
      <c r="B84" s="52"/>
    </row>
    <row r="85">
      <c r="B85" s="52"/>
    </row>
    <row r="86">
      <c r="B86" s="52"/>
    </row>
    <row r="87">
      <c r="B87" s="52"/>
    </row>
    <row r="88">
      <c r="B88" s="52"/>
    </row>
    <row r="89">
      <c r="B89" s="52"/>
    </row>
    <row r="90">
      <c r="B90" s="52"/>
    </row>
    <row r="91">
      <c r="B91" s="52"/>
    </row>
    <row r="92">
      <c r="B92" s="52"/>
    </row>
    <row r="93">
      <c r="B93" s="52"/>
    </row>
    <row r="94">
      <c r="B94" s="52"/>
    </row>
    <row r="95">
      <c r="B95" s="52"/>
    </row>
    <row r="96">
      <c r="B96" s="52"/>
    </row>
    <row r="97">
      <c r="B97" s="52"/>
    </row>
    <row r="98">
      <c r="B98" s="52"/>
    </row>
    <row r="99">
      <c r="B99" s="52"/>
    </row>
    <row r="100">
      <c r="B100" s="52"/>
    </row>
    <row r="101">
      <c r="B101" s="52"/>
    </row>
    <row r="102">
      <c r="B102" s="52"/>
    </row>
    <row r="103">
      <c r="B103" s="52"/>
    </row>
    <row r="104">
      <c r="B104" s="52"/>
    </row>
    <row r="105">
      <c r="B105" s="52"/>
    </row>
    <row r="106">
      <c r="B106" s="52"/>
    </row>
    <row r="107">
      <c r="B107" s="52"/>
    </row>
    <row r="108">
      <c r="B108" s="52"/>
    </row>
    <row r="109">
      <c r="B109" s="52"/>
    </row>
    <row r="110">
      <c r="B110" s="52"/>
    </row>
    <row r="111">
      <c r="B111" s="52"/>
    </row>
    <row r="112">
      <c r="B112" s="52"/>
    </row>
    <row r="113">
      <c r="B113" s="52"/>
    </row>
    <row r="114">
      <c r="B114" s="52"/>
    </row>
    <row r="115">
      <c r="B115" s="52"/>
    </row>
    <row r="116">
      <c r="B116" s="52"/>
    </row>
    <row r="117">
      <c r="B117" s="52"/>
    </row>
    <row r="118">
      <c r="B118" s="52"/>
    </row>
    <row r="119">
      <c r="B119" s="52"/>
    </row>
    <row r="120">
      <c r="B120" s="52"/>
    </row>
    <row r="121">
      <c r="B121" s="52"/>
    </row>
    <row r="122">
      <c r="B122" s="52"/>
    </row>
    <row r="123">
      <c r="B123" s="52"/>
    </row>
    <row r="124">
      <c r="B124" s="52"/>
    </row>
    <row r="125">
      <c r="B125" s="52"/>
    </row>
    <row r="126">
      <c r="B126" s="52"/>
    </row>
    <row r="127">
      <c r="B127" s="52"/>
    </row>
    <row r="128">
      <c r="B128" s="52"/>
    </row>
    <row r="129">
      <c r="B129" s="52"/>
    </row>
    <row r="130">
      <c r="B130" s="52"/>
    </row>
    <row r="131">
      <c r="B131" s="52"/>
    </row>
    <row r="132">
      <c r="B132" s="52"/>
    </row>
    <row r="133">
      <c r="B133" s="52"/>
    </row>
    <row r="134">
      <c r="B134" s="52"/>
    </row>
    <row r="135">
      <c r="B135" s="52"/>
    </row>
    <row r="136">
      <c r="B136" s="52"/>
    </row>
    <row r="137">
      <c r="B137" s="52"/>
    </row>
    <row r="138">
      <c r="B138" s="52"/>
    </row>
    <row r="139">
      <c r="B139" s="52"/>
    </row>
    <row r="140">
      <c r="B140" s="52"/>
    </row>
    <row r="141">
      <c r="B141" s="52"/>
    </row>
    <row r="142">
      <c r="B142" s="52"/>
    </row>
    <row r="143">
      <c r="B143" s="52"/>
    </row>
    <row r="144">
      <c r="B144" s="52"/>
    </row>
    <row r="145">
      <c r="B145" s="52"/>
    </row>
    <row r="146">
      <c r="B146" s="52"/>
    </row>
    <row r="147">
      <c r="B147" s="52"/>
    </row>
    <row r="148">
      <c r="B148" s="52"/>
    </row>
    <row r="149">
      <c r="B149" s="52"/>
    </row>
    <row r="150">
      <c r="B150" s="52"/>
    </row>
    <row r="151">
      <c r="B151" s="52"/>
    </row>
    <row r="152">
      <c r="B152" s="52"/>
    </row>
    <row r="153">
      <c r="B153" s="52"/>
    </row>
    <row r="154">
      <c r="B154" s="52"/>
    </row>
    <row r="155">
      <c r="B155" s="52"/>
    </row>
    <row r="156">
      <c r="B156" s="52"/>
    </row>
    <row r="157">
      <c r="B157" s="52"/>
    </row>
    <row r="158">
      <c r="B158" s="52"/>
    </row>
    <row r="159">
      <c r="B159" s="52"/>
    </row>
    <row r="160">
      <c r="B160" s="52"/>
    </row>
    <row r="161">
      <c r="B161" s="52"/>
    </row>
    <row r="162">
      <c r="B162" s="52"/>
    </row>
    <row r="163">
      <c r="B163" s="52"/>
    </row>
    <row r="164">
      <c r="B164" s="52"/>
    </row>
    <row r="165">
      <c r="B165" s="52"/>
    </row>
    <row r="166">
      <c r="B166" s="52"/>
    </row>
    <row r="167">
      <c r="B167" s="52"/>
    </row>
    <row r="168">
      <c r="B168" s="52"/>
    </row>
    <row r="169">
      <c r="B169" s="52"/>
    </row>
    <row r="170">
      <c r="B170" s="52"/>
    </row>
    <row r="171">
      <c r="B171" s="52"/>
    </row>
    <row r="172">
      <c r="B172" s="52"/>
    </row>
    <row r="173">
      <c r="B173" s="52"/>
    </row>
    <row r="174">
      <c r="B174" s="52"/>
    </row>
    <row r="175">
      <c r="B175" s="52"/>
    </row>
    <row r="176">
      <c r="B176" s="52"/>
    </row>
    <row r="177">
      <c r="B177" s="52"/>
    </row>
    <row r="178">
      <c r="B178" s="52"/>
    </row>
    <row r="179">
      <c r="B179" s="52"/>
    </row>
    <row r="180">
      <c r="B180" s="52"/>
    </row>
    <row r="181">
      <c r="B181" s="52"/>
    </row>
    <row r="182">
      <c r="B182" s="52"/>
    </row>
    <row r="183">
      <c r="B183" s="52"/>
    </row>
    <row r="184">
      <c r="B184" s="52"/>
    </row>
    <row r="185">
      <c r="B185" s="52"/>
    </row>
    <row r="186">
      <c r="B186" s="52"/>
    </row>
    <row r="187">
      <c r="B187" s="52"/>
    </row>
    <row r="188">
      <c r="B188" s="52"/>
    </row>
    <row r="189">
      <c r="B189" s="52"/>
    </row>
    <row r="190">
      <c r="B190" s="52"/>
    </row>
    <row r="191">
      <c r="B191" s="52"/>
    </row>
    <row r="192">
      <c r="B192" s="52"/>
    </row>
    <row r="193">
      <c r="B193" s="52"/>
    </row>
    <row r="194">
      <c r="B194" s="52"/>
    </row>
    <row r="195">
      <c r="B195" s="52"/>
    </row>
    <row r="196">
      <c r="B196" s="52"/>
    </row>
    <row r="197">
      <c r="B197" s="52"/>
    </row>
    <row r="198">
      <c r="B198" s="52"/>
    </row>
    <row r="199">
      <c r="B199" s="52"/>
    </row>
    <row r="200">
      <c r="B200" s="52"/>
    </row>
    <row r="201">
      <c r="B201" s="52"/>
    </row>
    <row r="202">
      <c r="B202" s="52"/>
    </row>
    <row r="203">
      <c r="B203" s="52"/>
    </row>
    <row r="204">
      <c r="B204" s="52"/>
    </row>
    <row r="205">
      <c r="B205" s="52"/>
    </row>
    <row r="206">
      <c r="B206" s="52"/>
    </row>
    <row r="207">
      <c r="B207" s="52"/>
    </row>
    <row r="208">
      <c r="B208" s="52"/>
    </row>
    <row r="209">
      <c r="B209" s="52"/>
    </row>
    <row r="210">
      <c r="B210" s="52"/>
    </row>
    <row r="211">
      <c r="B211" s="52"/>
    </row>
    <row r="212">
      <c r="B212" s="52"/>
    </row>
    <row r="213">
      <c r="B213" s="52"/>
    </row>
    <row r="214">
      <c r="B214" s="52"/>
    </row>
    <row r="215">
      <c r="B215" s="52"/>
    </row>
    <row r="216">
      <c r="B216" s="52"/>
    </row>
    <row r="217">
      <c r="B217" s="52"/>
    </row>
    <row r="218">
      <c r="B218" s="52"/>
    </row>
    <row r="219">
      <c r="B219" s="52"/>
    </row>
    <row r="220">
      <c r="B220" s="52"/>
    </row>
    <row r="221">
      <c r="B221" s="52"/>
    </row>
    <row r="222">
      <c r="B222" s="52"/>
    </row>
    <row r="223">
      <c r="B223" s="52"/>
    </row>
    <row r="224">
      <c r="B224" s="52"/>
    </row>
    <row r="225">
      <c r="B225" s="52"/>
    </row>
    <row r="226">
      <c r="B226" s="52"/>
    </row>
    <row r="227">
      <c r="B227" s="52"/>
    </row>
    <row r="228">
      <c r="B228" s="52"/>
    </row>
    <row r="229">
      <c r="B229" s="52"/>
    </row>
    <row r="230">
      <c r="B230" s="52"/>
    </row>
    <row r="231">
      <c r="B231" s="52"/>
    </row>
    <row r="232">
      <c r="B232" s="52"/>
    </row>
    <row r="233">
      <c r="B233" s="52"/>
    </row>
    <row r="234">
      <c r="B234" s="52"/>
    </row>
    <row r="235">
      <c r="B235" s="52"/>
    </row>
    <row r="236">
      <c r="B236" s="52"/>
    </row>
    <row r="237">
      <c r="B237" s="52"/>
    </row>
    <row r="238">
      <c r="B238" s="52"/>
    </row>
    <row r="239">
      <c r="B239" s="52"/>
    </row>
    <row r="240">
      <c r="B240" s="52"/>
    </row>
    <row r="241">
      <c r="B241" s="52"/>
    </row>
    <row r="242">
      <c r="B242" s="52"/>
    </row>
    <row r="243">
      <c r="B243" s="52"/>
    </row>
    <row r="244">
      <c r="B244" s="52"/>
    </row>
    <row r="245">
      <c r="B245" s="52"/>
    </row>
    <row r="246">
      <c r="B246" s="52"/>
    </row>
    <row r="247">
      <c r="B247" s="52"/>
    </row>
    <row r="248">
      <c r="B248" s="52"/>
    </row>
    <row r="249">
      <c r="B249" s="52"/>
    </row>
    <row r="250">
      <c r="B250" s="52"/>
    </row>
    <row r="251">
      <c r="B251" s="52"/>
    </row>
    <row r="252">
      <c r="B252" s="52"/>
    </row>
    <row r="253">
      <c r="B253" s="52"/>
    </row>
    <row r="254">
      <c r="B254" s="52"/>
    </row>
    <row r="255">
      <c r="B255" s="52"/>
    </row>
    <row r="256">
      <c r="B256" s="52"/>
    </row>
    <row r="257">
      <c r="B257" s="52"/>
    </row>
    <row r="258">
      <c r="B258" s="52"/>
    </row>
    <row r="259">
      <c r="B259" s="52"/>
    </row>
    <row r="260">
      <c r="B260" s="52"/>
    </row>
    <row r="261">
      <c r="B261" s="52"/>
    </row>
    <row r="262">
      <c r="B262" s="52"/>
    </row>
    <row r="263">
      <c r="B263" s="52"/>
    </row>
    <row r="264">
      <c r="B264" s="52"/>
    </row>
    <row r="265">
      <c r="B265" s="52"/>
    </row>
    <row r="266">
      <c r="B266" s="52"/>
    </row>
    <row r="267">
      <c r="B267" s="52"/>
    </row>
    <row r="268">
      <c r="B268" s="52"/>
    </row>
    <row r="269">
      <c r="B269" s="52"/>
    </row>
    <row r="270">
      <c r="B270" s="52"/>
    </row>
    <row r="271">
      <c r="B271" s="52"/>
    </row>
    <row r="272">
      <c r="B272" s="52"/>
    </row>
    <row r="273">
      <c r="B273" s="52"/>
    </row>
    <row r="274">
      <c r="B274" s="52"/>
    </row>
    <row r="275">
      <c r="B275" s="52"/>
    </row>
    <row r="276">
      <c r="B276" s="52"/>
    </row>
    <row r="277">
      <c r="B277" s="52"/>
    </row>
    <row r="278">
      <c r="B278" s="52"/>
    </row>
    <row r="279">
      <c r="B279" s="52"/>
    </row>
    <row r="280">
      <c r="B280" s="52"/>
    </row>
    <row r="281">
      <c r="B281" s="52"/>
    </row>
    <row r="282">
      <c r="B282" s="52"/>
    </row>
    <row r="283">
      <c r="B283" s="52"/>
    </row>
    <row r="284">
      <c r="B284" s="52"/>
    </row>
    <row r="285">
      <c r="B285" s="52"/>
    </row>
    <row r="286">
      <c r="B286" s="52"/>
    </row>
    <row r="287">
      <c r="B287" s="52"/>
    </row>
    <row r="288">
      <c r="B288" s="52"/>
    </row>
    <row r="289">
      <c r="B289" s="52"/>
    </row>
    <row r="290">
      <c r="B290" s="52"/>
    </row>
    <row r="291">
      <c r="B291" s="52"/>
    </row>
    <row r="292">
      <c r="B292" s="52"/>
    </row>
    <row r="293">
      <c r="B293" s="52"/>
    </row>
    <row r="294">
      <c r="B294" s="52"/>
    </row>
    <row r="295">
      <c r="B295" s="52"/>
    </row>
    <row r="296">
      <c r="B296" s="52"/>
    </row>
    <row r="297">
      <c r="B297" s="52"/>
    </row>
    <row r="298">
      <c r="B298" s="52"/>
    </row>
    <row r="299">
      <c r="B299" s="52"/>
    </row>
    <row r="300">
      <c r="B300" s="52"/>
    </row>
    <row r="301">
      <c r="B301" s="52"/>
    </row>
    <row r="302">
      <c r="B302" s="52"/>
    </row>
    <row r="303">
      <c r="B303" s="52"/>
    </row>
    <row r="304">
      <c r="B304" s="52"/>
    </row>
    <row r="305">
      <c r="B305" s="52"/>
    </row>
    <row r="306">
      <c r="B306" s="52"/>
    </row>
    <row r="307">
      <c r="B307" s="52"/>
    </row>
    <row r="308">
      <c r="B308" s="52"/>
    </row>
    <row r="309">
      <c r="B309" s="52"/>
    </row>
    <row r="310">
      <c r="B310" s="52"/>
    </row>
    <row r="311">
      <c r="B311" s="52"/>
    </row>
    <row r="312">
      <c r="B312" s="52"/>
    </row>
    <row r="313">
      <c r="B313" s="52"/>
    </row>
    <row r="314">
      <c r="B314" s="52"/>
    </row>
    <row r="315">
      <c r="B315" s="52"/>
    </row>
    <row r="316">
      <c r="B316" s="52"/>
    </row>
    <row r="317">
      <c r="B317" s="52"/>
    </row>
    <row r="318">
      <c r="B318" s="52"/>
    </row>
    <row r="319">
      <c r="B319" s="52"/>
    </row>
    <row r="320">
      <c r="B320" s="52"/>
    </row>
    <row r="321">
      <c r="B321" s="52"/>
    </row>
    <row r="322">
      <c r="B322" s="52"/>
    </row>
    <row r="323">
      <c r="B323" s="52"/>
    </row>
    <row r="324">
      <c r="B324" s="52"/>
    </row>
    <row r="325">
      <c r="B325" s="52"/>
    </row>
    <row r="326">
      <c r="B326" s="52"/>
    </row>
    <row r="327">
      <c r="B327" s="52"/>
    </row>
    <row r="328">
      <c r="B328" s="52"/>
    </row>
    <row r="329">
      <c r="B329" s="52"/>
    </row>
    <row r="330">
      <c r="B330" s="52"/>
    </row>
    <row r="331">
      <c r="B331" s="52"/>
    </row>
    <row r="332">
      <c r="B332" s="52"/>
    </row>
    <row r="333">
      <c r="B333" s="52"/>
    </row>
    <row r="334">
      <c r="B334" s="52"/>
    </row>
    <row r="335">
      <c r="B335" s="52"/>
    </row>
    <row r="336">
      <c r="B336" s="52"/>
    </row>
    <row r="337">
      <c r="B337" s="52"/>
    </row>
    <row r="338">
      <c r="B338" s="52"/>
    </row>
    <row r="339">
      <c r="B339" s="52"/>
    </row>
    <row r="340">
      <c r="B340" s="52"/>
    </row>
    <row r="341">
      <c r="B341" s="52"/>
    </row>
    <row r="342">
      <c r="B342" s="52"/>
    </row>
    <row r="343">
      <c r="B343" s="52"/>
    </row>
    <row r="344">
      <c r="B344" s="52"/>
    </row>
    <row r="345">
      <c r="B345" s="52"/>
    </row>
    <row r="346">
      <c r="B346" s="52"/>
    </row>
    <row r="347">
      <c r="B347" s="52"/>
    </row>
    <row r="348">
      <c r="B348" s="52"/>
    </row>
    <row r="349">
      <c r="B349" s="52"/>
    </row>
    <row r="350">
      <c r="B350" s="52"/>
    </row>
    <row r="351">
      <c r="B351" s="52"/>
    </row>
    <row r="352">
      <c r="B352" s="52"/>
    </row>
    <row r="353">
      <c r="B353" s="52"/>
    </row>
    <row r="354">
      <c r="B354" s="52"/>
    </row>
    <row r="355">
      <c r="B355" s="52"/>
    </row>
    <row r="356">
      <c r="B356" s="52"/>
    </row>
    <row r="357">
      <c r="B357" s="52"/>
    </row>
    <row r="358">
      <c r="B358" s="52"/>
    </row>
    <row r="359">
      <c r="B359" s="52"/>
    </row>
    <row r="360">
      <c r="B360" s="52"/>
    </row>
    <row r="361">
      <c r="B361" s="52"/>
    </row>
    <row r="362">
      <c r="B362" s="52"/>
    </row>
    <row r="363">
      <c r="B363" s="52"/>
    </row>
    <row r="364">
      <c r="B364" s="52"/>
    </row>
    <row r="365">
      <c r="B365" s="52"/>
    </row>
    <row r="366">
      <c r="B366" s="52"/>
    </row>
    <row r="367">
      <c r="B367" s="52"/>
    </row>
    <row r="368">
      <c r="B368" s="52"/>
    </row>
    <row r="369">
      <c r="B369" s="52"/>
    </row>
    <row r="370">
      <c r="B370" s="52"/>
    </row>
    <row r="371">
      <c r="B371" s="52"/>
    </row>
    <row r="372">
      <c r="B372" s="52"/>
    </row>
    <row r="373">
      <c r="B373" s="52"/>
    </row>
    <row r="374">
      <c r="B374" s="52"/>
    </row>
    <row r="375">
      <c r="B375" s="52"/>
    </row>
    <row r="376">
      <c r="B376" s="52"/>
    </row>
    <row r="377">
      <c r="B377" s="52"/>
    </row>
    <row r="378">
      <c r="B378" s="52"/>
    </row>
    <row r="379">
      <c r="B379" s="52"/>
    </row>
    <row r="380">
      <c r="B380" s="52"/>
    </row>
    <row r="381">
      <c r="B381" s="52"/>
    </row>
    <row r="382">
      <c r="B382" s="52"/>
    </row>
    <row r="383">
      <c r="B383" s="52"/>
    </row>
    <row r="384">
      <c r="B384" s="52"/>
    </row>
    <row r="385">
      <c r="B385" s="52"/>
    </row>
    <row r="386">
      <c r="B386" s="52"/>
    </row>
    <row r="387">
      <c r="B387" s="52"/>
    </row>
    <row r="388">
      <c r="B388" s="52"/>
    </row>
    <row r="389">
      <c r="B389" s="52"/>
    </row>
    <row r="390">
      <c r="B390" s="52"/>
    </row>
    <row r="391">
      <c r="B391" s="52"/>
    </row>
    <row r="392">
      <c r="B392" s="52"/>
    </row>
    <row r="393">
      <c r="B393" s="52"/>
    </row>
    <row r="394">
      <c r="B394" s="52"/>
    </row>
    <row r="395">
      <c r="B395" s="52"/>
    </row>
    <row r="396">
      <c r="B396" s="52"/>
    </row>
    <row r="397">
      <c r="B397" s="52"/>
    </row>
    <row r="398">
      <c r="B398" s="52"/>
    </row>
    <row r="399">
      <c r="B399" s="52"/>
    </row>
    <row r="400">
      <c r="B400" s="52"/>
    </row>
    <row r="401">
      <c r="B401" s="52"/>
    </row>
    <row r="402">
      <c r="B402" s="52"/>
    </row>
    <row r="403">
      <c r="B403" s="52"/>
    </row>
    <row r="404">
      <c r="B404" s="52"/>
    </row>
    <row r="405">
      <c r="B405" s="52"/>
    </row>
    <row r="406">
      <c r="B406" s="52"/>
    </row>
    <row r="407">
      <c r="B407" s="52"/>
    </row>
    <row r="408">
      <c r="B408" s="52"/>
    </row>
    <row r="409">
      <c r="B409" s="52"/>
    </row>
    <row r="410">
      <c r="B410" s="52"/>
    </row>
    <row r="411">
      <c r="B411" s="52"/>
    </row>
    <row r="412">
      <c r="B412" s="52"/>
    </row>
    <row r="413">
      <c r="B413" s="52"/>
    </row>
    <row r="414">
      <c r="B414" s="52"/>
    </row>
    <row r="415">
      <c r="B415" s="52"/>
    </row>
    <row r="416">
      <c r="B416" s="52"/>
    </row>
    <row r="417">
      <c r="B417" s="52"/>
    </row>
    <row r="418">
      <c r="B418" s="52"/>
    </row>
    <row r="419">
      <c r="B419" s="52"/>
    </row>
    <row r="420">
      <c r="B420" s="52"/>
    </row>
    <row r="421">
      <c r="B421" s="52"/>
    </row>
    <row r="422">
      <c r="B422" s="52"/>
    </row>
    <row r="423">
      <c r="B423" s="52"/>
    </row>
    <row r="424">
      <c r="B424" s="52"/>
    </row>
    <row r="425">
      <c r="B425" s="52"/>
    </row>
    <row r="426">
      <c r="B426" s="52"/>
    </row>
    <row r="427">
      <c r="B427" s="52"/>
    </row>
    <row r="428">
      <c r="B428" s="52"/>
    </row>
    <row r="429">
      <c r="B429" s="52"/>
    </row>
    <row r="430">
      <c r="B430" s="52"/>
    </row>
    <row r="431">
      <c r="B431" s="52"/>
    </row>
    <row r="432">
      <c r="B432" s="52"/>
    </row>
    <row r="433">
      <c r="B433" s="52"/>
    </row>
    <row r="434">
      <c r="B434" s="52"/>
    </row>
    <row r="435">
      <c r="B435" s="52"/>
    </row>
    <row r="436">
      <c r="B436" s="52"/>
    </row>
    <row r="437">
      <c r="B437" s="52"/>
    </row>
    <row r="438">
      <c r="B438" s="52"/>
    </row>
    <row r="439">
      <c r="B439" s="52"/>
    </row>
    <row r="440">
      <c r="B440" s="52"/>
    </row>
    <row r="441">
      <c r="B441" s="52"/>
    </row>
    <row r="442">
      <c r="B442" s="52"/>
    </row>
    <row r="443">
      <c r="B443" s="52"/>
    </row>
    <row r="444">
      <c r="B444" s="52"/>
    </row>
    <row r="445">
      <c r="B445" s="52"/>
    </row>
    <row r="446">
      <c r="B446" s="52"/>
    </row>
    <row r="447">
      <c r="B447" s="52"/>
    </row>
    <row r="448">
      <c r="B448" s="52"/>
    </row>
    <row r="449">
      <c r="B449" s="52"/>
    </row>
    <row r="450">
      <c r="B450" s="52"/>
    </row>
    <row r="451">
      <c r="B451" s="52"/>
    </row>
    <row r="452">
      <c r="B452" s="52"/>
    </row>
    <row r="453">
      <c r="B453" s="52"/>
    </row>
    <row r="454">
      <c r="B454" s="52"/>
    </row>
    <row r="455">
      <c r="B455" s="52"/>
    </row>
    <row r="456">
      <c r="B456" s="52"/>
    </row>
    <row r="457">
      <c r="B457" s="52"/>
    </row>
    <row r="458">
      <c r="B458" s="52"/>
    </row>
    <row r="459">
      <c r="B459" s="52"/>
    </row>
    <row r="460">
      <c r="B460" s="52"/>
    </row>
    <row r="461">
      <c r="B461" s="52"/>
    </row>
    <row r="462">
      <c r="B462" s="52"/>
    </row>
    <row r="463">
      <c r="B463" s="52"/>
    </row>
    <row r="464">
      <c r="B464" s="52"/>
    </row>
    <row r="465">
      <c r="B465" s="52"/>
    </row>
    <row r="466">
      <c r="B466" s="52"/>
    </row>
    <row r="467">
      <c r="B467" s="52"/>
    </row>
    <row r="468">
      <c r="B468" s="52"/>
    </row>
    <row r="469">
      <c r="B469" s="52"/>
    </row>
    <row r="470">
      <c r="B470" s="52"/>
    </row>
    <row r="471">
      <c r="B471" s="52"/>
    </row>
    <row r="472">
      <c r="B472" s="52"/>
    </row>
    <row r="473">
      <c r="B473" s="52"/>
    </row>
    <row r="474">
      <c r="B474" s="52"/>
    </row>
    <row r="475">
      <c r="B475" s="52"/>
    </row>
    <row r="476">
      <c r="B476" s="52"/>
    </row>
    <row r="477">
      <c r="B477" s="52"/>
    </row>
    <row r="478">
      <c r="B478" s="52"/>
    </row>
    <row r="479">
      <c r="B479" s="52"/>
    </row>
    <row r="480">
      <c r="B480" s="52"/>
    </row>
    <row r="481">
      <c r="B481" s="52"/>
    </row>
    <row r="482">
      <c r="B482" s="52"/>
    </row>
    <row r="483">
      <c r="B483" s="52"/>
    </row>
    <row r="484">
      <c r="B484" s="52"/>
    </row>
    <row r="485">
      <c r="B485" s="52"/>
    </row>
    <row r="486">
      <c r="B486" s="52"/>
    </row>
    <row r="487">
      <c r="B487" s="52"/>
    </row>
    <row r="488">
      <c r="B488" s="52"/>
    </row>
    <row r="489">
      <c r="B489" s="52"/>
    </row>
    <row r="490">
      <c r="B490" s="52"/>
    </row>
    <row r="491">
      <c r="B491" s="52"/>
    </row>
    <row r="492">
      <c r="B492" s="52"/>
    </row>
    <row r="493">
      <c r="B493" s="52"/>
    </row>
    <row r="494">
      <c r="B494" s="52"/>
    </row>
    <row r="495">
      <c r="B495" s="52"/>
    </row>
    <row r="496">
      <c r="B496" s="52"/>
    </row>
    <row r="497">
      <c r="B497" s="52"/>
    </row>
    <row r="498">
      <c r="B498" s="52"/>
    </row>
    <row r="499">
      <c r="B499" s="52"/>
    </row>
    <row r="500">
      <c r="B500" s="52"/>
    </row>
    <row r="501">
      <c r="B501" s="52"/>
    </row>
    <row r="502">
      <c r="B502" s="52"/>
    </row>
    <row r="503">
      <c r="B503" s="52"/>
    </row>
    <row r="504">
      <c r="B504" s="52"/>
    </row>
    <row r="505">
      <c r="B505" s="52"/>
    </row>
    <row r="506">
      <c r="B506" s="52"/>
    </row>
    <row r="507">
      <c r="B507" s="52"/>
    </row>
    <row r="508">
      <c r="B508" s="52"/>
    </row>
    <row r="509">
      <c r="B509" s="52"/>
    </row>
    <row r="510">
      <c r="B510" s="52"/>
    </row>
    <row r="511">
      <c r="B511" s="52"/>
    </row>
    <row r="512">
      <c r="B512" s="52"/>
    </row>
    <row r="513">
      <c r="B513" s="52"/>
    </row>
    <row r="514">
      <c r="B514" s="52"/>
    </row>
    <row r="515">
      <c r="B515" s="52"/>
    </row>
    <row r="516">
      <c r="B516" s="52"/>
    </row>
    <row r="517">
      <c r="B517" s="52"/>
    </row>
    <row r="518">
      <c r="B518" s="52"/>
    </row>
    <row r="519">
      <c r="B519" s="52"/>
    </row>
    <row r="520">
      <c r="B520" s="52"/>
    </row>
    <row r="521">
      <c r="B521" s="52"/>
    </row>
    <row r="522">
      <c r="B522" s="52"/>
    </row>
    <row r="523">
      <c r="B523" s="52"/>
    </row>
    <row r="524">
      <c r="B524" s="52"/>
    </row>
    <row r="525">
      <c r="B525" s="52"/>
    </row>
    <row r="526">
      <c r="B526" s="52"/>
    </row>
    <row r="527">
      <c r="B527" s="52"/>
    </row>
    <row r="528">
      <c r="B528" s="52"/>
    </row>
    <row r="529">
      <c r="B529" s="52"/>
    </row>
    <row r="530">
      <c r="B530" s="52"/>
    </row>
    <row r="531">
      <c r="B531" s="52"/>
    </row>
    <row r="532">
      <c r="B532" s="52"/>
    </row>
    <row r="533">
      <c r="B533" s="52"/>
    </row>
    <row r="534">
      <c r="B534" s="52"/>
    </row>
    <row r="535">
      <c r="B535" s="52"/>
    </row>
    <row r="536">
      <c r="B536" s="52"/>
    </row>
    <row r="537">
      <c r="B537" s="52"/>
    </row>
    <row r="538">
      <c r="B538" s="52"/>
    </row>
    <row r="539">
      <c r="B539" s="52"/>
    </row>
    <row r="540">
      <c r="B540" s="52"/>
    </row>
    <row r="541">
      <c r="B541" s="52"/>
    </row>
    <row r="542">
      <c r="B542" s="52"/>
    </row>
    <row r="543">
      <c r="B543" s="52"/>
    </row>
    <row r="544">
      <c r="B544" s="52"/>
    </row>
    <row r="545">
      <c r="B545" s="52"/>
    </row>
    <row r="546">
      <c r="B546" s="52"/>
    </row>
    <row r="547">
      <c r="B547" s="52"/>
    </row>
    <row r="548">
      <c r="B548" s="52"/>
    </row>
    <row r="549">
      <c r="B549" s="52"/>
    </row>
    <row r="550">
      <c r="B550" s="52"/>
    </row>
    <row r="551">
      <c r="B551" s="52"/>
    </row>
    <row r="552">
      <c r="B552" s="52"/>
    </row>
    <row r="553">
      <c r="B553" s="52"/>
    </row>
    <row r="554">
      <c r="B554" s="52"/>
    </row>
    <row r="555">
      <c r="B555" s="52"/>
    </row>
    <row r="556">
      <c r="B556" s="52"/>
    </row>
    <row r="557">
      <c r="B557" s="52"/>
    </row>
    <row r="558">
      <c r="B558" s="52"/>
    </row>
    <row r="559">
      <c r="B559" s="52"/>
    </row>
    <row r="560">
      <c r="B560" s="52"/>
    </row>
    <row r="561">
      <c r="B561" s="52"/>
    </row>
    <row r="562">
      <c r="B562" s="52"/>
    </row>
    <row r="563">
      <c r="B563" s="52"/>
    </row>
    <row r="564">
      <c r="B564" s="52"/>
    </row>
    <row r="565">
      <c r="B565" s="52"/>
    </row>
    <row r="566">
      <c r="B566" s="52"/>
    </row>
    <row r="567">
      <c r="B567" s="52"/>
    </row>
    <row r="568">
      <c r="B568" s="52"/>
    </row>
    <row r="569">
      <c r="B569" s="52"/>
    </row>
    <row r="570">
      <c r="B570" s="52"/>
    </row>
    <row r="571">
      <c r="B571" s="52"/>
    </row>
    <row r="572">
      <c r="B572" s="52"/>
    </row>
    <row r="573">
      <c r="B573" s="52"/>
    </row>
    <row r="574">
      <c r="B574" s="52"/>
    </row>
    <row r="575">
      <c r="B575" s="52"/>
    </row>
    <row r="576">
      <c r="B576" s="52"/>
    </row>
    <row r="577">
      <c r="B577" s="52"/>
    </row>
    <row r="578">
      <c r="B578" s="52"/>
    </row>
    <row r="579">
      <c r="B579" s="52"/>
    </row>
    <row r="580">
      <c r="B580" s="52"/>
    </row>
    <row r="581">
      <c r="B581" s="52"/>
    </row>
    <row r="582">
      <c r="B582" s="52"/>
    </row>
    <row r="583">
      <c r="B583" s="52"/>
    </row>
    <row r="584">
      <c r="B584" s="52"/>
    </row>
    <row r="585">
      <c r="B585" s="52"/>
    </row>
    <row r="586">
      <c r="B586" s="52"/>
    </row>
    <row r="587">
      <c r="B587" s="52"/>
    </row>
    <row r="588">
      <c r="B588" s="52"/>
    </row>
    <row r="589">
      <c r="B589" s="52"/>
    </row>
    <row r="590">
      <c r="B590" s="52"/>
    </row>
    <row r="591">
      <c r="B591" s="52"/>
    </row>
    <row r="592">
      <c r="B592" s="52"/>
    </row>
    <row r="593">
      <c r="B593" s="52"/>
    </row>
    <row r="594">
      <c r="B594" s="52"/>
    </row>
    <row r="595">
      <c r="B595" s="52"/>
    </row>
    <row r="596">
      <c r="B596" s="52"/>
    </row>
    <row r="597">
      <c r="B597" s="52"/>
    </row>
    <row r="598">
      <c r="B598" s="52"/>
    </row>
    <row r="599">
      <c r="B599" s="52"/>
    </row>
    <row r="600">
      <c r="B600" s="52"/>
    </row>
    <row r="601">
      <c r="B601" s="52"/>
    </row>
    <row r="602">
      <c r="B602" s="52"/>
    </row>
    <row r="603">
      <c r="B603" s="52"/>
    </row>
    <row r="604">
      <c r="B604" s="52"/>
    </row>
    <row r="605">
      <c r="B605" s="52"/>
    </row>
    <row r="606">
      <c r="B606" s="52"/>
    </row>
    <row r="607">
      <c r="B607" s="52"/>
    </row>
    <row r="608">
      <c r="B608" s="52"/>
    </row>
    <row r="609">
      <c r="B609" s="52"/>
    </row>
    <row r="610">
      <c r="B610" s="52"/>
    </row>
    <row r="611">
      <c r="B611" s="52"/>
    </row>
    <row r="612">
      <c r="B612" s="52"/>
    </row>
    <row r="613">
      <c r="B613" s="52"/>
    </row>
    <row r="614">
      <c r="B614" s="52"/>
    </row>
    <row r="615">
      <c r="B615" s="52"/>
    </row>
    <row r="616">
      <c r="B616" s="52"/>
    </row>
    <row r="617">
      <c r="B617" s="52"/>
    </row>
    <row r="618">
      <c r="B618" s="52"/>
    </row>
    <row r="619">
      <c r="B619" s="52"/>
    </row>
    <row r="620">
      <c r="B620" s="52"/>
    </row>
    <row r="621">
      <c r="B621" s="52"/>
    </row>
    <row r="622">
      <c r="B622" s="52"/>
    </row>
    <row r="623">
      <c r="B623" s="52"/>
    </row>
    <row r="624">
      <c r="B624" s="52"/>
    </row>
    <row r="625">
      <c r="B625" s="52"/>
    </row>
    <row r="626">
      <c r="B626" s="52"/>
    </row>
    <row r="627">
      <c r="B627" s="52"/>
    </row>
    <row r="628">
      <c r="B628" s="52"/>
    </row>
    <row r="629">
      <c r="B629" s="52"/>
    </row>
    <row r="630">
      <c r="B630" s="52"/>
    </row>
    <row r="631">
      <c r="B631" s="52"/>
    </row>
    <row r="632">
      <c r="B632" s="52"/>
    </row>
    <row r="633">
      <c r="B633" s="52"/>
    </row>
    <row r="634">
      <c r="B634" s="52"/>
    </row>
    <row r="635">
      <c r="B635" s="52"/>
    </row>
    <row r="636">
      <c r="B636" s="52"/>
    </row>
    <row r="637">
      <c r="B637" s="52"/>
    </row>
    <row r="638">
      <c r="B638" s="52"/>
    </row>
    <row r="639">
      <c r="B639" s="52"/>
    </row>
    <row r="640">
      <c r="B640" s="52"/>
    </row>
    <row r="641">
      <c r="B641" s="52"/>
    </row>
    <row r="642">
      <c r="B642" s="52"/>
    </row>
    <row r="643">
      <c r="B643" s="52"/>
    </row>
    <row r="644">
      <c r="B644" s="52"/>
    </row>
    <row r="645">
      <c r="B645" s="52"/>
    </row>
    <row r="646">
      <c r="B646" s="52"/>
    </row>
    <row r="647">
      <c r="B647" s="52"/>
    </row>
    <row r="648">
      <c r="B648" s="52"/>
    </row>
    <row r="649">
      <c r="B649" s="52"/>
    </row>
    <row r="650">
      <c r="B650" s="52"/>
    </row>
    <row r="651">
      <c r="B651" s="52"/>
    </row>
    <row r="652">
      <c r="B652" s="52"/>
    </row>
    <row r="653">
      <c r="B653" s="52"/>
    </row>
    <row r="654">
      <c r="B654" s="52"/>
    </row>
    <row r="655">
      <c r="B655" s="52"/>
    </row>
    <row r="656">
      <c r="B656" s="52"/>
    </row>
    <row r="657">
      <c r="B657" s="52"/>
    </row>
    <row r="658">
      <c r="B658" s="52"/>
    </row>
    <row r="659">
      <c r="B659" s="52"/>
    </row>
    <row r="660">
      <c r="B660" s="52"/>
    </row>
    <row r="661">
      <c r="B661" s="52"/>
    </row>
    <row r="662">
      <c r="B662" s="52"/>
    </row>
    <row r="663">
      <c r="B663" s="52"/>
    </row>
    <row r="664">
      <c r="B664" s="52"/>
    </row>
    <row r="665">
      <c r="B665" s="52"/>
    </row>
    <row r="666">
      <c r="B666" s="52"/>
    </row>
    <row r="667">
      <c r="B667" s="52"/>
    </row>
    <row r="668">
      <c r="B668" s="52"/>
    </row>
    <row r="669">
      <c r="B669" s="52"/>
    </row>
    <row r="670">
      <c r="B670" s="52"/>
    </row>
    <row r="671">
      <c r="B671" s="52"/>
    </row>
    <row r="672">
      <c r="B672" s="52"/>
    </row>
    <row r="673">
      <c r="B673" s="52"/>
    </row>
    <row r="674">
      <c r="B674" s="52"/>
    </row>
    <row r="675">
      <c r="B675" s="52"/>
    </row>
    <row r="676">
      <c r="B676" s="52"/>
    </row>
    <row r="677">
      <c r="B677" s="52"/>
    </row>
    <row r="678">
      <c r="B678" s="52"/>
    </row>
    <row r="679">
      <c r="B679" s="52"/>
    </row>
    <row r="680">
      <c r="B680" s="52"/>
    </row>
    <row r="681">
      <c r="B681" s="52"/>
    </row>
    <row r="682">
      <c r="B682" s="52"/>
    </row>
    <row r="683">
      <c r="B683" s="52"/>
    </row>
    <row r="684">
      <c r="B684" s="52"/>
    </row>
    <row r="685">
      <c r="B685" s="52"/>
    </row>
    <row r="686">
      <c r="B686" s="52"/>
    </row>
    <row r="687">
      <c r="B687" s="52"/>
    </row>
    <row r="688">
      <c r="B688" s="52"/>
    </row>
    <row r="689">
      <c r="B689" s="52"/>
    </row>
    <row r="690">
      <c r="B690" s="52"/>
    </row>
    <row r="691">
      <c r="B691" s="52"/>
    </row>
    <row r="692">
      <c r="B692" s="52"/>
    </row>
    <row r="693">
      <c r="B693" s="52"/>
    </row>
    <row r="694">
      <c r="B694" s="52"/>
    </row>
    <row r="695">
      <c r="B695" s="52"/>
    </row>
    <row r="696">
      <c r="B696" s="52"/>
    </row>
    <row r="697">
      <c r="B697" s="52"/>
    </row>
    <row r="698">
      <c r="B698" s="52"/>
    </row>
    <row r="699">
      <c r="B699" s="52"/>
    </row>
    <row r="700">
      <c r="B700" s="52"/>
    </row>
    <row r="701">
      <c r="B701" s="52"/>
    </row>
    <row r="702">
      <c r="B702" s="52"/>
    </row>
    <row r="703">
      <c r="B703" s="52"/>
    </row>
    <row r="704">
      <c r="B704" s="52"/>
    </row>
    <row r="705">
      <c r="B705" s="52"/>
    </row>
    <row r="706">
      <c r="B706" s="52"/>
    </row>
    <row r="707">
      <c r="B707" s="52"/>
    </row>
    <row r="708">
      <c r="B708" s="52"/>
    </row>
    <row r="709">
      <c r="B709" s="52"/>
    </row>
    <row r="710">
      <c r="B710" s="52"/>
    </row>
    <row r="711">
      <c r="B711" s="52"/>
    </row>
    <row r="712">
      <c r="B712" s="52"/>
    </row>
    <row r="713">
      <c r="B713" s="52"/>
    </row>
    <row r="714">
      <c r="B714" s="52"/>
    </row>
    <row r="715">
      <c r="B715" s="52"/>
    </row>
    <row r="716">
      <c r="B716" s="52"/>
    </row>
    <row r="717">
      <c r="B717" s="52"/>
    </row>
    <row r="718">
      <c r="B718" s="52"/>
    </row>
    <row r="719">
      <c r="B719" s="52"/>
    </row>
    <row r="720">
      <c r="B720" s="52"/>
    </row>
    <row r="721">
      <c r="B721" s="52"/>
    </row>
    <row r="722">
      <c r="B722" s="52"/>
    </row>
    <row r="723">
      <c r="B723" s="52"/>
    </row>
    <row r="724">
      <c r="B724" s="52"/>
    </row>
    <row r="725">
      <c r="B725" s="52"/>
    </row>
    <row r="726">
      <c r="B726" s="52"/>
    </row>
    <row r="727">
      <c r="B727" s="52"/>
    </row>
    <row r="728">
      <c r="B728" s="52"/>
    </row>
    <row r="729">
      <c r="B729" s="52"/>
    </row>
    <row r="730">
      <c r="B730" s="52"/>
    </row>
    <row r="731">
      <c r="B731" s="52"/>
    </row>
    <row r="732">
      <c r="B732" s="52"/>
    </row>
    <row r="733">
      <c r="B733" s="52"/>
    </row>
    <row r="734">
      <c r="B734" s="52"/>
    </row>
    <row r="735">
      <c r="B735" s="52"/>
    </row>
    <row r="736">
      <c r="B736" s="52"/>
    </row>
    <row r="737">
      <c r="B737" s="52"/>
    </row>
    <row r="738">
      <c r="B738" s="52"/>
    </row>
    <row r="739">
      <c r="B739" s="52"/>
    </row>
    <row r="740">
      <c r="B740" s="52"/>
    </row>
    <row r="741">
      <c r="B741" s="52"/>
    </row>
    <row r="742">
      <c r="B742" s="52"/>
    </row>
    <row r="743">
      <c r="B743" s="52"/>
    </row>
    <row r="744">
      <c r="B744" s="52"/>
    </row>
    <row r="745">
      <c r="B745" s="52"/>
    </row>
    <row r="746">
      <c r="B746" s="52"/>
    </row>
    <row r="747">
      <c r="B747" s="52"/>
    </row>
    <row r="748">
      <c r="B748" s="52"/>
    </row>
    <row r="749">
      <c r="B749" s="52"/>
    </row>
    <row r="750">
      <c r="B750" s="52"/>
    </row>
    <row r="751">
      <c r="B751" s="52"/>
    </row>
    <row r="752">
      <c r="B752" s="52"/>
    </row>
    <row r="753">
      <c r="B753" s="52"/>
    </row>
    <row r="754">
      <c r="B754" s="52"/>
    </row>
    <row r="755">
      <c r="B755" s="52"/>
    </row>
    <row r="756">
      <c r="B756" s="52"/>
    </row>
    <row r="757">
      <c r="B757" s="52"/>
    </row>
    <row r="758">
      <c r="B758" s="52"/>
    </row>
    <row r="759">
      <c r="B759" s="52"/>
    </row>
    <row r="760">
      <c r="B760" s="52"/>
    </row>
    <row r="761">
      <c r="B761" s="52"/>
    </row>
    <row r="762">
      <c r="B762" s="52"/>
    </row>
    <row r="763">
      <c r="B763" s="52"/>
    </row>
    <row r="764">
      <c r="B764" s="52"/>
    </row>
    <row r="765">
      <c r="B765" s="52"/>
    </row>
    <row r="766">
      <c r="B766" s="52"/>
    </row>
    <row r="767">
      <c r="B767" s="52"/>
    </row>
    <row r="768">
      <c r="B768" s="52"/>
    </row>
    <row r="769">
      <c r="B769" s="52"/>
    </row>
    <row r="770">
      <c r="B770" s="52"/>
    </row>
    <row r="771">
      <c r="B771" s="52"/>
    </row>
    <row r="772">
      <c r="B772" s="52"/>
    </row>
    <row r="773">
      <c r="B773" s="52"/>
    </row>
    <row r="774">
      <c r="B774" s="52"/>
    </row>
    <row r="775">
      <c r="B775" s="52"/>
    </row>
    <row r="776">
      <c r="B776" s="52"/>
    </row>
    <row r="777">
      <c r="B777" s="52"/>
    </row>
    <row r="778">
      <c r="B778" s="52"/>
    </row>
    <row r="779">
      <c r="B779" s="52"/>
    </row>
    <row r="780">
      <c r="B780" s="52"/>
    </row>
    <row r="781">
      <c r="B781" s="52"/>
    </row>
    <row r="782">
      <c r="B782" s="52"/>
    </row>
    <row r="783">
      <c r="B783" s="52"/>
    </row>
    <row r="784">
      <c r="B784" s="52"/>
    </row>
    <row r="785">
      <c r="B785" s="52"/>
    </row>
    <row r="786">
      <c r="B786" s="52"/>
    </row>
    <row r="787">
      <c r="B787" s="52"/>
    </row>
    <row r="788">
      <c r="B788" s="52"/>
    </row>
    <row r="789">
      <c r="B789" s="52"/>
    </row>
    <row r="790">
      <c r="B790" s="52"/>
    </row>
    <row r="791">
      <c r="B791" s="52"/>
    </row>
    <row r="792">
      <c r="B792" s="52"/>
    </row>
    <row r="793">
      <c r="B793" s="52"/>
    </row>
    <row r="794">
      <c r="B794" s="52"/>
    </row>
    <row r="795">
      <c r="B795" s="52"/>
    </row>
    <row r="796">
      <c r="B796" s="52"/>
    </row>
    <row r="797">
      <c r="B797" s="52"/>
    </row>
    <row r="798">
      <c r="B798" s="52"/>
    </row>
    <row r="799">
      <c r="B799" s="52"/>
    </row>
    <row r="800">
      <c r="B800" s="52"/>
    </row>
    <row r="801">
      <c r="B801" s="52"/>
    </row>
    <row r="802">
      <c r="B802" s="52"/>
    </row>
    <row r="803">
      <c r="B803" s="52"/>
    </row>
    <row r="804">
      <c r="B804" s="52"/>
    </row>
    <row r="805">
      <c r="B805" s="52"/>
    </row>
    <row r="806">
      <c r="B806" s="52"/>
    </row>
    <row r="807">
      <c r="B807" s="52"/>
    </row>
    <row r="808">
      <c r="B808" s="52"/>
    </row>
    <row r="809">
      <c r="B809" s="52"/>
    </row>
    <row r="810">
      <c r="B810" s="52"/>
    </row>
    <row r="811">
      <c r="B811" s="52"/>
    </row>
    <row r="812">
      <c r="B812" s="52"/>
    </row>
    <row r="813">
      <c r="B813" s="52"/>
    </row>
    <row r="814">
      <c r="B814" s="52"/>
    </row>
    <row r="815">
      <c r="B815" s="52"/>
    </row>
    <row r="816">
      <c r="B816" s="52"/>
    </row>
    <row r="817">
      <c r="B817" s="52"/>
    </row>
    <row r="818">
      <c r="B818" s="52"/>
    </row>
    <row r="819">
      <c r="B819" s="52"/>
    </row>
    <row r="820">
      <c r="B820" s="52"/>
    </row>
    <row r="821">
      <c r="B821" s="52"/>
    </row>
    <row r="822">
      <c r="B822" s="52"/>
    </row>
    <row r="823">
      <c r="B823" s="52"/>
    </row>
    <row r="824">
      <c r="B824" s="52"/>
    </row>
    <row r="825">
      <c r="B825" s="52"/>
    </row>
    <row r="826">
      <c r="B826" s="52"/>
    </row>
    <row r="827">
      <c r="B827" s="52"/>
    </row>
    <row r="828">
      <c r="B828" s="52"/>
    </row>
    <row r="829">
      <c r="B829" s="52"/>
    </row>
    <row r="830">
      <c r="B830" s="52"/>
    </row>
    <row r="831">
      <c r="B831" s="52"/>
    </row>
    <row r="832">
      <c r="B832" s="52"/>
    </row>
    <row r="833">
      <c r="B833" s="52"/>
    </row>
    <row r="834">
      <c r="B834" s="52"/>
    </row>
    <row r="835">
      <c r="B835" s="52"/>
    </row>
    <row r="836">
      <c r="B836" s="52"/>
    </row>
    <row r="837">
      <c r="B837" s="52"/>
    </row>
    <row r="838">
      <c r="B838" s="52"/>
    </row>
    <row r="839">
      <c r="B839" s="52"/>
    </row>
    <row r="840">
      <c r="B840" s="52"/>
    </row>
    <row r="841">
      <c r="B841" s="52"/>
    </row>
    <row r="842">
      <c r="B842" s="52"/>
    </row>
    <row r="843">
      <c r="B843" s="52"/>
    </row>
    <row r="844">
      <c r="B844" s="52"/>
    </row>
    <row r="845">
      <c r="B845" s="52"/>
    </row>
    <row r="846">
      <c r="B846" s="52"/>
    </row>
    <row r="847">
      <c r="B847" s="52"/>
    </row>
    <row r="848">
      <c r="B848" s="52"/>
    </row>
    <row r="849">
      <c r="B849" s="52"/>
    </row>
    <row r="850">
      <c r="B850" s="52"/>
    </row>
    <row r="851">
      <c r="B851" s="52"/>
    </row>
    <row r="852">
      <c r="B852" s="52"/>
    </row>
    <row r="853">
      <c r="B853" s="52"/>
    </row>
    <row r="854">
      <c r="B854" s="52"/>
    </row>
    <row r="855">
      <c r="B855" s="52"/>
    </row>
    <row r="856">
      <c r="B856" s="52"/>
    </row>
    <row r="857">
      <c r="B857" s="52"/>
    </row>
    <row r="858">
      <c r="B858" s="52"/>
    </row>
    <row r="859">
      <c r="B859" s="52"/>
    </row>
    <row r="860">
      <c r="B860" s="52"/>
    </row>
    <row r="861">
      <c r="B861" s="52"/>
    </row>
    <row r="862">
      <c r="B862" s="52"/>
    </row>
    <row r="863">
      <c r="B863" s="52"/>
    </row>
    <row r="864">
      <c r="B864" s="52"/>
    </row>
    <row r="865">
      <c r="B865" s="52"/>
    </row>
    <row r="866">
      <c r="B866" s="52"/>
    </row>
    <row r="867">
      <c r="B867" s="52"/>
    </row>
    <row r="868">
      <c r="B868" s="52"/>
    </row>
    <row r="869">
      <c r="B869" s="52"/>
    </row>
    <row r="870">
      <c r="B870" s="52"/>
    </row>
    <row r="871">
      <c r="B871" s="52"/>
    </row>
    <row r="872">
      <c r="B872" s="52"/>
    </row>
    <row r="873">
      <c r="B873" s="52"/>
    </row>
    <row r="874">
      <c r="B874" s="52"/>
    </row>
    <row r="875">
      <c r="B875" s="52"/>
    </row>
    <row r="876">
      <c r="B876" s="52"/>
    </row>
    <row r="877">
      <c r="B877" s="52"/>
    </row>
    <row r="878">
      <c r="B878" s="52"/>
    </row>
    <row r="879">
      <c r="B879" s="52"/>
    </row>
    <row r="880">
      <c r="B880" s="52"/>
    </row>
    <row r="881">
      <c r="B881" s="52"/>
    </row>
    <row r="882">
      <c r="B882" s="52"/>
    </row>
    <row r="883">
      <c r="B883" s="52"/>
    </row>
    <row r="884">
      <c r="B884" s="52"/>
    </row>
    <row r="885">
      <c r="B885" s="52"/>
    </row>
    <row r="886">
      <c r="B886" s="52"/>
    </row>
    <row r="887">
      <c r="B887" s="52"/>
    </row>
    <row r="888">
      <c r="B888" s="52"/>
    </row>
    <row r="889">
      <c r="B889" s="52"/>
    </row>
    <row r="890">
      <c r="B890" s="52"/>
    </row>
    <row r="891">
      <c r="B891" s="52"/>
    </row>
    <row r="892">
      <c r="B892" s="52"/>
    </row>
    <row r="893">
      <c r="B893" s="52"/>
    </row>
    <row r="894">
      <c r="B894" s="52"/>
    </row>
    <row r="895">
      <c r="B895" s="52"/>
    </row>
    <row r="896">
      <c r="B896" s="52"/>
    </row>
    <row r="897">
      <c r="B897" s="52"/>
    </row>
    <row r="898">
      <c r="B898" s="52"/>
    </row>
    <row r="899">
      <c r="B899" s="52"/>
    </row>
    <row r="900">
      <c r="B900" s="52"/>
    </row>
    <row r="901">
      <c r="B901" s="52"/>
    </row>
    <row r="902">
      <c r="B902" s="52"/>
    </row>
    <row r="903">
      <c r="B903" s="52"/>
    </row>
    <row r="904">
      <c r="B904" s="52"/>
    </row>
    <row r="905">
      <c r="B905" s="52"/>
    </row>
    <row r="906">
      <c r="B906" s="52"/>
    </row>
    <row r="907">
      <c r="B907" s="52"/>
    </row>
    <row r="908">
      <c r="B908" s="52"/>
    </row>
    <row r="909">
      <c r="B909" s="52"/>
    </row>
    <row r="910">
      <c r="B910" s="52"/>
    </row>
    <row r="911">
      <c r="B911" s="52"/>
    </row>
    <row r="912">
      <c r="B912" s="52"/>
    </row>
    <row r="913">
      <c r="B913" s="52"/>
    </row>
    <row r="914">
      <c r="B914" s="52"/>
    </row>
    <row r="915">
      <c r="B915" s="52"/>
    </row>
    <row r="916">
      <c r="B916" s="52"/>
    </row>
    <row r="917">
      <c r="B917" s="52"/>
    </row>
    <row r="918">
      <c r="B918" s="52"/>
    </row>
    <row r="919">
      <c r="B919" s="52"/>
    </row>
    <row r="920">
      <c r="B920" s="52"/>
    </row>
    <row r="921">
      <c r="B921" s="52"/>
    </row>
    <row r="922">
      <c r="B922" s="52"/>
    </row>
    <row r="923">
      <c r="B923" s="52"/>
    </row>
    <row r="924">
      <c r="B924" s="52"/>
    </row>
    <row r="925">
      <c r="B925" s="52"/>
    </row>
    <row r="926">
      <c r="B926" s="52"/>
    </row>
    <row r="927">
      <c r="B927" s="52"/>
    </row>
    <row r="928">
      <c r="B928" s="52"/>
    </row>
    <row r="929">
      <c r="B929" s="52"/>
    </row>
    <row r="930">
      <c r="B930" s="52"/>
    </row>
    <row r="931">
      <c r="B931" s="52"/>
    </row>
    <row r="932">
      <c r="B932" s="52"/>
    </row>
    <row r="933">
      <c r="B933" s="52"/>
    </row>
    <row r="934">
      <c r="B934" s="52"/>
    </row>
    <row r="935">
      <c r="B935" s="52"/>
    </row>
    <row r="936">
      <c r="B936" s="52"/>
    </row>
    <row r="937">
      <c r="B937" s="52"/>
    </row>
    <row r="938">
      <c r="B938" s="52"/>
    </row>
    <row r="939">
      <c r="B939" s="52"/>
    </row>
    <row r="940">
      <c r="B940" s="52"/>
    </row>
    <row r="941">
      <c r="B941" s="52"/>
    </row>
    <row r="942">
      <c r="B942" s="52"/>
    </row>
    <row r="943">
      <c r="B943" s="52"/>
    </row>
    <row r="944">
      <c r="B944" s="52"/>
    </row>
    <row r="945">
      <c r="B945" s="52"/>
    </row>
    <row r="946">
      <c r="B946" s="52"/>
    </row>
    <row r="947">
      <c r="B947" s="52"/>
    </row>
    <row r="948">
      <c r="B948" s="52"/>
    </row>
    <row r="949">
      <c r="B949" s="52"/>
    </row>
    <row r="950">
      <c r="B950" s="52"/>
    </row>
    <row r="951">
      <c r="B951" s="52"/>
    </row>
    <row r="952">
      <c r="B952" s="52"/>
    </row>
    <row r="953">
      <c r="B953" s="52"/>
    </row>
    <row r="954">
      <c r="B954" s="52"/>
    </row>
    <row r="955">
      <c r="B955" s="52"/>
    </row>
    <row r="956">
      <c r="B956" s="52"/>
    </row>
    <row r="957">
      <c r="B957" s="52"/>
    </row>
    <row r="958">
      <c r="B958" s="52"/>
    </row>
    <row r="959">
      <c r="B959" s="52"/>
    </row>
    <row r="960">
      <c r="B960" s="52"/>
    </row>
    <row r="961">
      <c r="B961" s="52"/>
    </row>
    <row r="962">
      <c r="B962" s="52"/>
    </row>
    <row r="963">
      <c r="B963" s="52"/>
    </row>
    <row r="964">
      <c r="B964" s="52"/>
    </row>
    <row r="965">
      <c r="B965" s="52"/>
    </row>
    <row r="966">
      <c r="B966" s="52"/>
    </row>
    <row r="967">
      <c r="B967" s="52"/>
    </row>
    <row r="968">
      <c r="B968" s="52"/>
    </row>
    <row r="969">
      <c r="B969" s="52"/>
    </row>
    <row r="970">
      <c r="B970" s="52"/>
    </row>
    <row r="971">
      <c r="B971" s="52"/>
    </row>
    <row r="972">
      <c r="B972" s="52"/>
    </row>
    <row r="973">
      <c r="B973" s="52"/>
    </row>
    <row r="974">
      <c r="B974" s="52"/>
    </row>
    <row r="975">
      <c r="B975" s="52"/>
    </row>
    <row r="976">
      <c r="B976" s="52"/>
    </row>
    <row r="977">
      <c r="B977" s="52"/>
    </row>
    <row r="978">
      <c r="B978" s="52"/>
    </row>
    <row r="979">
      <c r="B979" s="52"/>
    </row>
    <row r="980">
      <c r="B980" s="52"/>
    </row>
    <row r="981">
      <c r="B981" s="52"/>
    </row>
    <row r="982">
      <c r="B982" s="52"/>
    </row>
    <row r="983">
      <c r="B983" s="52"/>
    </row>
    <row r="984">
      <c r="B984" s="52"/>
    </row>
    <row r="985">
      <c r="B985" s="52"/>
    </row>
    <row r="986">
      <c r="B986" s="52"/>
    </row>
    <row r="987">
      <c r="B987" s="52"/>
    </row>
    <row r="988">
      <c r="B988" s="52"/>
    </row>
    <row r="989">
      <c r="B989" s="52"/>
    </row>
    <row r="990">
      <c r="B990" s="52"/>
    </row>
    <row r="991">
      <c r="B991" s="52"/>
    </row>
    <row r="992">
      <c r="B992" s="52"/>
    </row>
    <row r="993">
      <c r="B993" s="52"/>
    </row>
    <row r="994">
      <c r="B994" s="52"/>
    </row>
    <row r="995">
      <c r="B995" s="52"/>
    </row>
    <row r="996">
      <c r="B996" s="52"/>
    </row>
    <row r="997">
      <c r="B997" s="52"/>
    </row>
    <row r="998">
      <c r="B998" s="52"/>
    </row>
    <row r="999">
      <c r="B999" s="52"/>
    </row>
    <row r="1000">
      <c r="B1000" s="52"/>
    </row>
  </sheetData>
  <mergeCells count="1">
    <mergeCell ref="B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6.63"/>
    <col customWidth="1" min="2" max="2" width="29.25"/>
    <col customWidth="1" min="3" max="3" width="23.75"/>
    <col customWidth="1" min="4" max="4" width="25.63"/>
    <col customWidth="1" min="5" max="5" width="26.13"/>
    <col customWidth="1" min="6" max="6" width="16.88"/>
    <col customWidth="1" min="7" max="7" width="15.0"/>
  </cols>
  <sheetData>
    <row r="1">
      <c r="B1" s="3" t="s">
        <v>2</v>
      </c>
    </row>
    <row r="2">
      <c r="A2" s="70" t="s">
        <v>5</v>
      </c>
      <c r="B2" s="70" t="s">
        <v>7</v>
      </c>
      <c r="C2" s="71" t="s">
        <v>9</v>
      </c>
      <c r="D2" s="72" t="s">
        <v>11</v>
      </c>
      <c r="E2" s="73" t="s">
        <v>13</v>
      </c>
      <c r="F2" s="74" t="s">
        <v>15</v>
      </c>
      <c r="G2" s="75" t="s">
        <v>17</v>
      </c>
    </row>
    <row r="3">
      <c r="A3" s="76" t="s">
        <v>221</v>
      </c>
      <c r="B3" s="77">
        <v>1.03</v>
      </c>
      <c r="C3" s="77">
        <v>1.08</v>
      </c>
      <c r="D3" s="77" t="s">
        <v>36</v>
      </c>
      <c r="E3" s="77" t="s">
        <v>222</v>
      </c>
      <c r="F3" s="77" t="s">
        <v>57</v>
      </c>
      <c r="G3" s="77" t="s">
        <v>31</v>
      </c>
    </row>
    <row r="4">
      <c r="A4" s="78" t="s">
        <v>223</v>
      </c>
      <c r="B4" s="77">
        <v>1.05</v>
      </c>
      <c r="C4" s="77">
        <v>1.15</v>
      </c>
      <c r="D4" s="77">
        <v>1.3</v>
      </c>
      <c r="E4" s="77" t="s">
        <v>224</v>
      </c>
      <c r="F4" s="77" t="s">
        <v>104</v>
      </c>
      <c r="G4" s="77" t="s">
        <v>158</v>
      </c>
    </row>
    <row r="5">
      <c r="A5" s="76" t="s">
        <v>225</v>
      </c>
      <c r="B5" s="77">
        <v>1.05</v>
      </c>
      <c r="C5" s="77">
        <v>1.15</v>
      </c>
      <c r="D5" s="77">
        <v>1.3</v>
      </c>
      <c r="E5" s="77" t="s">
        <v>224</v>
      </c>
      <c r="F5" s="77" t="s">
        <v>104</v>
      </c>
      <c r="G5" s="77" t="s">
        <v>158</v>
      </c>
    </row>
    <row r="6">
      <c r="A6" s="79" t="s">
        <v>226</v>
      </c>
      <c r="B6" s="77" t="s">
        <v>23</v>
      </c>
      <c r="C6" s="77">
        <v>1.08</v>
      </c>
      <c r="D6" s="77">
        <v>1.2</v>
      </c>
      <c r="E6" s="77" t="s">
        <v>224</v>
      </c>
      <c r="F6" s="77" t="s">
        <v>104</v>
      </c>
      <c r="G6" s="77" t="s">
        <v>227</v>
      </c>
    </row>
    <row r="7">
      <c r="A7" s="79" t="s">
        <v>228</v>
      </c>
      <c r="B7" s="77" t="s">
        <v>23</v>
      </c>
      <c r="C7" s="77">
        <v>1.08</v>
      </c>
      <c r="D7" s="77">
        <v>1.2</v>
      </c>
      <c r="E7" s="77" t="s">
        <v>224</v>
      </c>
      <c r="F7" s="77" t="s">
        <v>104</v>
      </c>
      <c r="G7" s="77" t="s">
        <v>227</v>
      </c>
    </row>
    <row r="8">
      <c r="A8" s="38" t="s">
        <v>229</v>
      </c>
      <c r="B8" s="77">
        <v>1.05</v>
      </c>
      <c r="C8" s="77">
        <v>1.1</v>
      </c>
      <c r="D8" s="77">
        <v>1.2</v>
      </c>
      <c r="E8" s="77">
        <v>1.4</v>
      </c>
      <c r="F8" s="77">
        <v>1.5</v>
      </c>
      <c r="G8" s="80"/>
    </row>
    <row r="9">
      <c r="A9" s="78" t="s">
        <v>230</v>
      </c>
      <c r="B9" s="77" t="s">
        <v>27</v>
      </c>
      <c r="C9" s="77" t="s">
        <v>36</v>
      </c>
      <c r="D9" s="77" t="s">
        <v>49</v>
      </c>
      <c r="E9" s="77" t="s">
        <v>30</v>
      </c>
      <c r="F9" s="77">
        <v>1.75</v>
      </c>
      <c r="G9" s="81" t="s">
        <v>31</v>
      </c>
    </row>
    <row r="10">
      <c r="A10" s="38" t="s">
        <v>231</v>
      </c>
      <c r="B10" s="77" t="s">
        <v>26</v>
      </c>
      <c r="C10" s="77" t="s">
        <v>27</v>
      </c>
      <c r="D10" s="77" t="s">
        <v>42</v>
      </c>
      <c r="E10" s="77">
        <v>1.2</v>
      </c>
      <c r="F10" s="77">
        <v>1.25</v>
      </c>
      <c r="G10" s="80"/>
    </row>
    <row r="11">
      <c r="A11" s="38" t="s">
        <v>232</v>
      </c>
      <c r="B11" s="82"/>
      <c r="C11" s="77" t="s">
        <v>233</v>
      </c>
      <c r="D11" s="77" t="s">
        <v>234</v>
      </c>
      <c r="E11" s="77" t="s">
        <v>235</v>
      </c>
      <c r="F11" s="77" t="s">
        <v>236</v>
      </c>
      <c r="G11" s="80"/>
    </row>
    <row r="12">
      <c r="A12" s="38" t="s">
        <v>237</v>
      </c>
      <c r="B12" s="82"/>
      <c r="C12" s="77" t="s">
        <v>238</v>
      </c>
      <c r="D12" s="77" t="s">
        <v>239</v>
      </c>
      <c r="E12" s="77" t="s">
        <v>240</v>
      </c>
      <c r="F12" s="77" t="s">
        <v>241</v>
      </c>
      <c r="G12" s="80"/>
    </row>
    <row r="13">
      <c r="A13" s="79" t="s">
        <v>242</v>
      </c>
      <c r="B13" s="83"/>
      <c r="C13" s="84" t="str">
        <f>"+0.02 , max 1.2 (10)"</f>
        <v>+0.02 , max 1.2 (10)</v>
      </c>
      <c r="D13" s="84" t="str">
        <f>"+0.02, max +0.75 "</f>
        <v>+0.02, max +0.75 </v>
      </c>
      <c r="E13" s="84" t="str">
        <f>"+0.02, max +4 (200)"</f>
        <v>+0.02, max +4 (200)</v>
      </c>
      <c r="F13" s="77" t="str">
        <f>"+0.02, Max 6x (+5)"</f>
        <v>+0.02, Max 6x (+5)</v>
      </c>
      <c r="G13" s="77" t="str">
        <f>"+0.02, Max 7x (+6)"</f>
        <v>+0.02, Max 7x (+6)</v>
      </c>
    </row>
    <row r="14">
      <c r="A14" s="38" t="s">
        <v>243</v>
      </c>
      <c r="B14" s="82"/>
      <c r="C14" s="77" t="s">
        <v>233</v>
      </c>
      <c r="D14" s="77" t="s">
        <v>234</v>
      </c>
      <c r="E14" s="77" t="s">
        <v>235</v>
      </c>
      <c r="F14" s="77" t="s">
        <v>236</v>
      </c>
      <c r="G14" s="80"/>
    </row>
    <row r="15">
      <c r="A15" s="85" t="s">
        <v>244</v>
      </c>
      <c r="B15" s="82"/>
      <c r="C15" s="77" t="s">
        <v>238</v>
      </c>
      <c r="D15" s="77" t="s">
        <v>239</v>
      </c>
      <c r="E15" s="77" t="s">
        <v>245</v>
      </c>
      <c r="F15" s="77" t="s">
        <v>241</v>
      </c>
      <c r="G15" s="80"/>
    </row>
    <row r="16">
      <c r="A16" s="76" t="s">
        <v>246</v>
      </c>
      <c r="B16" s="82"/>
      <c r="C16" s="77" t="str">
        <f>"+0.02, Max 1.2 (6)"</f>
        <v>+0.02, Max 1.2 (6)</v>
      </c>
      <c r="D16" s="77" t="str">
        <f>"+0.02, Max 1.75"</f>
        <v>+0.02, Max 1.75</v>
      </c>
      <c r="E16" s="77" t="str">
        <f>"+0.02, Max 5x (+4)"</f>
        <v>+0.02, Max 5x (+4)</v>
      </c>
      <c r="F16" s="77" t="str">
        <f>"+0.02, Max 6x (+5)"</f>
        <v>+0.02, Max 6x (+5)</v>
      </c>
      <c r="G16" s="77" t="str">
        <f>"+0.02, Max 7x (+6)"</f>
        <v>+0.02, Max 7x (+6)</v>
      </c>
    </row>
    <row r="17">
      <c r="A17" s="38" t="s">
        <v>247</v>
      </c>
      <c r="B17" s="82"/>
      <c r="C17" s="77" t="s">
        <v>248</v>
      </c>
      <c r="D17" s="77" t="s">
        <v>249</v>
      </c>
      <c r="E17" s="77" t="s">
        <v>250</v>
      </c>
      <c r="F17" s="77" t="s">
        <v>251</v>
      </c>
      <c r="G17" s="80"/>
    </row>
    <row r="18">
      <c r="A18" s="38" t="s">
        <v>252</v>
      </c>
      <c r="B18" s="82"/>
      <c r="C18" s="77" t="s">
        <v>253</v>
      </c>
      <c r="D18" s="77" t="s">
        <v>254</v>
      </c>
      <c r="E18" s="77" t="s">
        <v>255</v>
      </c>
      <c r="F18" s="77" t="s">
        <v>256</v>
      </c>
      <c r="G18" s="80"/>
    </row>
    <row r="19">
      <c r="A19" s="79" t="s">
        <v>257</v>
      </c>
      <c r="B19" s="82"/>
      <c r="C19" s="82"/>
      <c r="D19" s="77" t="s">
        <v>258</v>
      </c>
      <c r="E19" s="77" t="s">
        <v>259</v>
      </c>
      <c r="F19" s="77" t="s">
        <v>260</v>
      </c>
      <c r="G19" s="80"/>
    </row>
    <row r="20">
      <c r="A20" s="79" t="s">
        <v>261</v>
      </c>
      <c r="B20" s="82"/>
      <c r="C20" s="82"/>
      <c r="D20" s="77" t="s">
        <v>258</v>
      </c>
      <c r="E20" s="77" t="s">
        <v>259</v>
      </c>
      <c r="F20" s="77" t="s">
        <v>260</v>
      </c>
      <c r="G20" s="80"/>
    </row>
    <row r="21">
      <c r="A21" s="85" t="s">
        <v>262</v>
      </c>
      <c r="B21" s="82"/>
      <c r="C21" s="82"/>
      <c r="D21" s="82"/>
      <c r="E21" s="8" t="s">
        <v>263</v>
      </c>
      <c r="F21" s="8" t="s">
        <v>264</v>
      </c>
      <c r="G21" s="80"/>
    </row>
    <row r="22">
      <c r="A22" s="86" t="s">
        <v>265</v>
      </c>
      <c r="B22" s="51"/>
      <c r="C22" s="57"/>
      <c r="D22" s="57"/>
      <c r="E22" s="8" t="s">
        <v>263</v>
      </c>
      <c r="F22" s="8" t="s">
        <v>264</v>
      </c>
    </row>
    <row r="23">
      <c r="A23" s="6" t="s">
        <v>266</v>
      </c>
      <c r="B23" s="51"/>
      <c r="C23" s="57"/>
      <c r="D23" s="57"/>
      <c r="E23" s="8" t="s">
        <v>267</v>
      </c>
      <c r="F23" s="8" t="s">
        <v>268</v>
      </c>
    </row>
    <row r="24">
      <c r="A24" s="6" t="s">
        <v>269</v>
      </c>
      <c r="B24" s="51"/>
      <c r="C24" s="57"/>
      <c r="D24" s="57"/>
      <c r="E24" s="8" t="s">
        <v>267</v>
      </c>
      <c r="F24" s="8" t="s">
        <v>268</v>
      </c>
    </row>
    <row r="25">
      <c r="B25" s="52"/>
    </row>
    <row r="26">
      <c r="B26" s="52"/>
    </row>
    <row r="27">
      <c r="A27" s="61"/>
      <c r="B27" s="52"/>
    </row>
    <row r="28">
      <c r="A28" s="62"/>
      <c r="B28" s="52"/>
    </row>
    <row r="29">
      <c r="A29" s="61"/>
      <c r="B29" s="52"/>
    </row>
    <row r="30">
      <c r="B30" s="52"/>
    </row>
    <row r="31">
      <c r="B31" s="52"/>
    </row>
    <row r="32">
      <c r="B32" s="52"/>
    </row>
    <row r="33">
      <c r="B33" s="52"/>
    </row>
    <row r="34">
      <c r="B34" s="52"/>
    </row>
    <row r="35">
      <c r="B35" s="52"/>
    </row>
    <row r="36">
      <c r="B36" s="52"/>
    </row>
    <row r="37">
      <c r="B37" s="52"/>
    </row>
    <row r="38">
      <c r="B38" s="52"/>
    </row>
    <row r="39">
      <c r="B39" s="52"/>
    </row>
    <row r="40">
      <c r="B40" s="52"/>
    </row>
    <row r="41">
      <c r="B41" s="52"/>
    </row>
    <row r="42">
      <c r="B42" s="52"/>
    </row>
    <row r="43">
      <c r="B43" s="52"/>
    </row>
    <row r="44">
      <c r="B44" s="52"/>
    </row>
    <row r="45">
      <c r="B45" s="52"/>
    </row>
    <row r="46">
      <c r="B46" s="52"/>
    </row>
    <row r="47">
      <c r="B47" s="52"/>
    </row>
    <row r="48">
      <c r="B48" s="52"/>
    </row>
    <row r="49">
      <c r="B49" s="52"/>
    </row>
    <row r="50">
      <c r="B50" s="52"/>
    </row>
    <row r="51">
      <c r="B51" s="52"/>
    </row>
    <row r="52">
      <c r="B52" s="52"/>
    </row>
    <row r="53">
      <c r="B53" s="52"/>
    </row>
    <row r="54">
      <c r="B54" s="52"/>
    </row>
    <row r="55">
      <c r="B55" s="52"/>
    </row>
    <row r="56">
      <c r="B56" s="52"/>
    </row>
    <row r="57">
      <c r="B57" s="52"/>
    </row>
    <row r="58">
      <c r="B58" s="52"/>
    </row>
    <row r="59">
      <c r="B59" s="52"/>
    </row>
    <row r="60">
      <c r="B60" s="52"/>
    </row>
    <row r="61">
      <c r="B61" s="52"/>
    </row>
    <row r="62">
      <c r="B62" s="52"/>
    </row>
    <row r="63">
      <c r="B63" s="52"/>
    </row>
    <row r="64">
      <c r="B64" s="52"/>
    </row>
    <row r="65">
      <c r="B65" s="52"/>
    </row>
    <row r="66">
      <c r="B66" s="52"/>
    </row>
    <row r="67">
      <c r="B67" s="52"/>
    </row>
    <row r="68">
      <c r="B68" s="52"/>
    </row>
    <row r="69">
      <c r="B69" s="52"/>
    </row>
    <row r="70">
      <c r="B70" s="52"/>
    </row>
    <row r="71">
      <c r="B71" s="52"/>
    </row>
    <row r="72">
      <c r="B72" s="52"/>
    </row>
    <row r="73">
      <c r="B73" s="52"/>
    </row>
    <row r="74">
      <c r="B74" s="52"/>
    </row>
    <row r="75">
      <c r="B75" s="52"/>
    </row>
    <row r="76">
      <c r="B76" s="52"/>
    </row>
    <row r="77">
      <c r="B77" s="52"/>
    </row>
    <row r="78">
      <c r="B78" s="52"/>
    </row>
    <row r="79">
      <c r="B79" s="52"/>
    </row>
    <row r="80">
      <c r="B80" s="52"/>
    </row>
    <row r="81">
      <c r="B81" s="52"/>
    </row>
    <row r="82">
      <c r="B82" s="52"/>
    </row>
    <row r="83">
      <c r="B83" s="52"/>
    </row>
    <row r="84">
      <c r="B84" s="52"/>
    </row>
    <row r="85">
      <c r="B85" s="52"/>
    </row>
    <row r="86">
      <c r="B86" s="52"/>
    </row>
    <row r="87">
      <c r="B87" s="52"/>
    </row>
    <row r="88">
      <c r="B88" s="52"/>
    </row>
    <row r="89">
      <c r="B89" s="52"/>
    </row>
    <row r="90">
      <c r="B90" s="52"/>
    </row>
    <row r="91">
      <c r="B91" s="52"/>
    </row>
    <row r="92">
      <c r="B92" s="52"/>
    </row>
    <row r="93">
      <c r="B93" s="52"/>
    </row>
    <row r="94">
      <c r="B94" s="52"/>
    </row>
    <row r="95">
      <c r="B95" s="52"/>
    </row>
    <row r="96">
      <c r="B96" s="52"/>
    </row>
    <row r="97">
      <c r="B97" s="52"/>
    </row>
    <row r="98">
      <c r="B98" s="52"/>
    </row>
    <row r="99">
      <c r="B99" s="52"/>
    </row>
    <row r="100">
      <c r="B100" s="52"/>
    </row>
    <row r="101">
      <c r="B101" s="52"/>
    </row>
    <row r="102">
      <c r="B102" s="52"/>
    </row>
    <row r="103">
      <c r="B103" s="52"/>
    </row>
    <row r="104">
      <c r="B104" s="52"/>
    </row>
    <row r="105">
      <c r="B105" s="52"/>
    </row>
    <row r="106">
      <c r="B106" s="52"/>
    </row>
    <row r="107">
      <c r="B107" s="52"/>
    </row>
    <row r="108">
      <c r="B108" s="52"/>
    </row>
    <row r="109">
      <c r="B109" s="52"/>
    </row>
    <row r="110">
      <c r="B110" s="52"/>
    </row>
    <row r="111">
      <c r="B111" s="52"/>
    </row>
    <row r="112">
      <c r="B112" s="52"/>
    </row>
    <row r="113">
      <c r="B113" s="52"/>
    </row>
    <row r="114">
      <c r="B114" s="52"/>
    </row>
    <row r="115">
      <c r="B115" s="52"/>
    </row>
    <row r="116">
      <c r="B116" s="52"/>
    </row>
    <row r="117">
      <c r="B117" s="52"/>
    </row>
    <row r="118">
      <c r="B118" s="52"/>
    </row>
    <row r="119">
      <c r="B119" s="52"/>
    </row>
    <row r="120">
      <c r="B120" s="52"/>
    </row>
    <row r="121">
      <c r="B121" s="52"/>
    </row>
    <row r="122">
      <c r="B122" s="52"/>
    </row>
    <row r="123">
      <c r="B123" s="52"/>
    </row>
    <row r="124">
      <c r="B124" s="52"/>
    </row>
    <row r="125">
      <c r="B125" s="52"/>
    </row>
    <row r="126">
      <c r="B126" s="52"/>
    </row>
    <row r="127">
      <c r="B127" s="52"/>
    </row>
    <row r="128">
      <c r="B128" s="52"/>
    </row>
    <row r="129">
      <c r="B129" s="52"/>
    </row>
    <row r="130">
      <c r="B130" s="52"/>
    </row>
    <row r="131">
      <c r="B131" s="52"/>
    </row>
    <row r="132">
      <c r="B132" s="52"/>
    </row>
    <row r="133">
      <c r="B133" s="52"/>
    </row>
    <row r="134">
      <c r="B134" s="52"/>
    </row>
    <row r="135">
      <c r="B135" s="52"/>
    </row>
    <row r="136">
      <c r="B136" s="52"/>
    </row>
    <row r="137">
      <c r="B137" s="52"/>
    </row>
    <row r="138">
      <c r="B138" s="52"/>
    </row>
    <row r="139">
      <c r="B139" s="52"/>
    </row>
    <row r="140">
      <c r="B140" s="52"/>
    </row>
    <row r="141">
      <c r="B141" s="52"/>
    </row>
    <row r="142">
      <c r="B142" s="52"/>
    </row>
    <row r="143">
      <c r="B143" s="52"/>
    </row>
    <row r="144">
      <c r="B144" s="52"/>
    </row>
    <row r="145">
      <c r="B145" s="52"/>
    </row>
    <row r="146">
      <c r="B146" s="52"/>
    </row>
    <row r="147">
      <c r="B147" s="52"/>
    </row>
    <row r="148">
      <c r="B148" s="52"/>
    </row>
    <row r="149">
      <c r="B149" s="52"/>
    </row>
    <row r="150">
      <c r="B150" s="52"/>
    </row>
    <row r="151">
      <c r="B151" s="52"/>
    </row>
    <row r="152">
      <c r="B152" s="52"/>
    </row>
    <row r="153">
      <c r="B153" s="52"/>
    </row>
    <row r="154">
      <c r="B154" s="52"/>
    </row>
    <row r="155">
      <c r="B155" s="52"/>
    </row>
    <row r="156">
      <c r="B156" s="52"/>
    </row>
    <row r="157">
      <c r="B157" s="52"/>
    </row>
    <row r="158">
      <c r="B158" s="52"/>
    </row>
    <row r="159">
      <c r="B159" s="52"/>
    </row>
    <row r="160">
      <c r="B160" s="52"/>
    </row>
    <row r="161">
      <c r="B161" s="52"/>
    </row>
    <row r="162">
      <c r="B162" s="52"/>
    </row>
    <row r="163">
      <c r="B163" s="52"/>
    </row>
    <row r="164">
      <c r="B164" s="52"/>
    </row>
    <row r="165">
      <c r="B165" s="52"/>
    </row>
    <row r="166">
      <c r="B166" s="52"/>
    </row>
    <row r="167">
      <c r="B167" s="52"/>
    </row>
    <row r="168">
      <c r="B168" s="52"/>
    </row>
    <row r="169">
      <c r="B169" s="52"/>
    </row>
    <row r="170">
      <c r="B170" s="52"/>
    </row>
    <row r="171">
      <c r="B171" s="52"/>
    </row>
    <row r="172">
      <c r="B172" s="52"/>
    </row>
    <row r="173">
      <c r="B173" s="52"/>
    </row>
    <row r="174">
      <c r="B174" s="52"/>
    </row>
    <row r="175">
      <c r="B175" s="52"/>
    </row>
    <row r="176">
      <c r="B176" s="52"/>
    </row>
    <row r="177">
      <c r="B177" s="52"/>
    </row>
    <row r="178">
      <c r="B178" s="52"/>
    </row>
    <row r="179">
      <c r="B179" s="52"/>
    </row>
    <row r="180">
      <c r="B180" s="52"/>
    </row>
    <row r="181">
      <c r="B181" s="52"/>
    </row>
    <row r="182">
      <c r="B182" s="52"/>
    </row>
    <row r="183">
      <c r="B183" s="52"/>
    </row>
    <row r="184">
      <c r="B184" s="52"/>
    </row>
    <row r="185">
      <c r="B185" s="52"/>
    </row>
    <row r="186">
      <c r="B186" s="52"/>
    </row>
    <row r="187">
      <c r="B187" s="52"/>
    </row>
    <row r="188">
      <c r="B188" s="52"/>
    </row>
    <row r="189">
      <c r="B189" s="52"/>
    </row>
    <row r="190">
      <c r="B190" s="52"/>
    </row>
    <row r="191">
      <c r="B191" s="52"/>
    </row>
    <row r="192">
      <c r="B192" s="52"/>
    </row>
    <row r="193">
      <c r="B193" s="52"/>
    </row>
    <row r="194">
      <c r="B194" s="52"/>
    </row>
    <row r="195">
      <c r="B195" s="52"/>
    </row>
    <row r="196">
      <c r="B196" s="52"/>
    </row>
    <row r="197">
      <c r="B197" s="52"/>
    </row>
    <row r="198">
      <c r="B198" s="52"/>
    </row>
    <row r="199">
      <c r="B199" s="52"/>
    </row>
    <row r="200">
      <c r="B200" s="52"/>
    </row>
    <row r="201">
      <c r="B201" s="52"/>
    </row>
    <row r="202">
      <c r="B202" s="52"/>
    </row>
    <row r="203">
      <c r="B203" s="52"/>
    </row>
    <row r="204">
      <c r="B204" s="52"/>
    </row>
    <row r="205">
      <c r="B205" s="52"/>
    </row>
    <row r="206">
      <c r="B206" s="52"/>
    </row>
    <row r="207">
      <c r="B207" s="52"/>
    </row>
    <row r="208">
      <c r="B208" s="52"/>
    </row>
    <row r="209">
      <c r="B209" s="52"/>
    </row>
    <row r="210">
      <c r="B210" s="52"/>
    </row>
    <row r="211">
      <c r="B211" s="52"/>
    </row>
    <row r="212">
      <c r="B212" s="52"/>
    </row>
    <row r="213">
      <c r="B213" s="52"/>
    </row>
    <row r="214">
      <c r="B214" s="52"/>
    </row>
    <row r="215">
      <c r="B215" s="52"/>
    </row>
    <row r="216">
      <c r="B216" s="52"/>
    </row>
    <row r="217">
      <c r="B217" s="52"/>
    </row>
    <row r="218">
      <c r="B218" s="52"/>
    </row>
    <row r="219">
      <c r="B219" s="52"/>
    </row>
    <row r="220">
      <c r="B220" s="52"/>
    </row>
    <row r="221">
      <c r="B221" s="52"/>
    </row>
    <row r="222">
      <c r="B222" s="52"/>
    </row>
    <row r="223">
      <c r="B223" s="52"/>
    </row>
    <row r="224">
      <c r="B224" s="52"/>
    </row>
    <row r="225">
      <c r="B225" s="52"/>
    </row>
    <row r="226">
      <c r="B226" s="52"/>
    </row>
    <row r="227">
      <c r="B227" s="52"/>
    </row>
    <row r="228">
      <c r="B228" s="52"/>
    </row>
    <row r="229">
      <c r="B229" s="52"/>
    </row>
    <row r="230">
      <c r="B230" s="52"/>
    </row>
    <row r="231">
      <c r="B231" s="52"/>
    </row>
    <row r="232">
      <c r="B232" s="52"/>
    </row>
    <row r="233">
      <c r="B233" s="52"/>
    </row>
    <row r="234">
      <c r="B234" s="52"/>
    </row>
    <row r="235">
      <c r="B235" s="52"/>
    </row>
    <row r="236">
      <c r="B236" s="52"/>
    </row>
    <row r="237">
      <c r="B237" s="52"/>
    </row>
    <row r="238">
      <c r="B238" s="52"/>
    </row>
    <row r="239">
      <c r="B239" s="52"/>
    </row>
    <row r="240">
      <c r="B240" s="52"/>
    </row>
    <row r="241">
      <c r="B241" s="52"/>
    </row>
    <row r="242">
      <c r="B242" s="52"/>
    </row>
    <row r="243">
      <c r="B243" s="52"/>
    </row>
    <row r="244">
      <c r="B244" s="52"/>
    </row>
    <row r="245">
      <c r="B245" s="52"/>
    </row>
    <row r="246">
      <c r="B246" s="52"/>
    </row>
    <row r="247">
      <c r="B247" s="52"/>
    </row>
    <row r="248">
      <c r="B248" s="52"/>
    </row>
    <row r="249">
      <c r="B249" s="52"/>
    </row>
    <row r="250">
      <c r="B250" s="52"/>
    </row>
    <row r="251">
      <c r="B251" s="52"/>
    </row>
    <row r="252">
      <c r="B252" s="52"/>
    </row>
    <row r="253">
      <c r="B253" s="52"/>
    </row>
    <row r="254">
      <c r="B254" s="52"/>
    </row>
    <row r="255">
      <c r="B255" s="52"/>
    </row>
    <row r="256">
      <c r="B256" s="52"/>
    </row>
    <row r="257">
      <c r="B257" s="52"/>
    </row>
    <row r="258">
      <c r="B258" s="52"/>
    </row>
    <row r="259">
      <c r="B259" s="52"/>
    </row>
    <row r="260">
      <c r="B260" s="52"/>
    </row>
    <row r="261">
      <c r="B261" s="52"/>
    </row>
    <row r="262">
      <c r="B262" s="52"/>
    </row>
    <row r="263">
      <c r="B263" s="52"/>
    </row>
    <row r="264">
      <c r="B264" s="52"/>
    </row>
    <row r="265">
      <c r="B265" s="52"/>
    </row>
    <row r="266">
      <c r="B266" s="52"/>
    </row>
    <row r="267">
      <c r="B267" s="52"/>
    </row>
    <row r="268">
      <c r="B268" s="52"/>
    </row>
    <row r="269">
      <c r="B269" s="52"/>
    </row>
    <row r="270">
      <c r="B270" s="52"/>
    </row>
    <row r="271">
      <c r="B271" s="52"/>
    </row>
    <row r="272">
      <c r="B272" s="52"/>
    </row>
    <row r="273">
      <c r="B273" s="52"/>
    </row>
    <row r="274">
      <c r="B274" s="52"/>
    </row>
    <row r="275">
      <c r="B275" s="52"/>
    </row>
    <row r="276">
      <c r="B276" s="52"/>
    </row>
    <row r="277">
      <c r="B277" s="52"/>
    </row>
    <row r="278">
      <c r="B278" s="52"/>
    </row>
    <row r="279">
      <c r="B279" s="52"/>
    </row>
    <row r="280">
      <c r="B280" s="52"/>
    </row>
    <row r="281">
      <c r="B281" s="52"/>
    </row>
    <row r="282">
      <c r="B282" s="52"/>
    </row>
    <row r="283">
      <c r="B283" s="52"/>
    </row>
    <row r="284">
      <c r="B284" s="52"/>
    </row>
    <row r="285">
      <c r="B285" s="52"/>
    </row>
    <row r="286">
      <c r="B286" s="52"/>
    </row>
    <row r="287">
      <c r="B287" s="52"/>
    </row>
    <row r="288">
      <c r="B288" s="52"/>
    </row>
    <row r="289">
      <c r="B289" s="52"/>
    </row>
    <row r="290">
      <c r="B290" s="52"/>
    </row>
    <row r="291">
      <c r="B291" s="52"/>
    </row>
    <row r="292">
      <c r="B292" s="52"/>
    </row>
    <row r="293">
      <c r="B293" s="52"/>
    </row>
    <row r="294">
      <c r="B294" s="52"/>
    </row>
    <row r="295">
      <c r="B295" s="52"/>
    </row>
    <row r="296">
      <c r="B296" s="52"/>
    </row>
    <row r="297">
      <c r="B297" s="52"/>
    </row>
    <row r="298">
      <c r="B298" s="52"/>
    </row>
    <row r="299">
      <c r="B299" s="52"/>
    </row>
    <row r="300">
      <c r="B300" s="52"/>
    </row>
    <row r="301">
      <c r="B301" s="52"/>
    </row>
    <row r="302">
      <c r="B302" s="52"/>
    </row>
    <row r="303">
      <c r="B303" s="52"/>
    </row>
    <row r="304">
      <c r="B304" s="52"/>
    </row>
    <row r="305">
      <c r="B305" s="52"/>
    </row>
    <row r="306">
      <c r="B306" s="52"/>
    </row>
    <row r="307">
      <c r="B307" s="52"/>
    </row>
    <row r="308">
      <c r="B308" s="52"/>
    </row>
    <row r="309">
      <c r="B309" s="52"/>
    </row>
    <row r="310">
      <c r="B310" s="52"/>
    </row>
    <row r="311">
      <c r="B311" s="52"/>
    </row>
    <row r="312">
      <c r="B312" s="52"/>
    </row>
    <row r="313">
      <c r="B313" s="52"/>
    </row>
    <row r="314">
      <c r="B314" s="52"/>
    </row>
    <row r="315">
      <c r="B315" s="52"/>
    </row>
    <row r="316">
      <c r="B316" s="52"/>
    </row>
    <row r="317">
      <c r="B317" s="52"/>
    </row>
    <row r="318">
      <c r="B318" s="52"/>
    </row>
    <row r="319">
      <c r="B319" s="52"/>
    </row>
    <row r="320">
      <c r="B320" s="52"/>
    </row>
    <row r="321">
      <c r="B321" s="52"/>
    </row>
    <row r="322">
      <c r="B322" s="52"/>
    </row>
    <row r="323">
      <c r="B323" s="52"/>
    </row>
    <row r="324">
      <c r="B324" s="52"/>
    </row>
    <row r="325">
      <c r="B325" s="52"/>
    </row>
    <row r="326">
      <c r="B326" s="52"/>
    </row>
    <row r="327">
      <c r="B327" s="52"/>
    </row>
    <row r="328">
      <c r="B328" s="52"/>
    </row>
    <row r="329">
      <c r="B329" s="52"/>
    </row>
    <row r="330">
      <c r="B330" s="52"/>
    </row>
    <row r="331">
      <c r="B331" s="52"/>
    </row>
    <row r="332">
      <c r="B332" s="52"/>
    </row>
    <row r="333">
      <c r="B333" s="52"/>
    </row>
    <row r="334">
      <c r="B334" s="52"/>
    </row>
    <row r="335">
      <c r="B335" s="52"/>
    </row>
    <row r="336">
      <c r="B336" s="52"/>
    </row>
    <row r="337">
      <c r="B337" s="52"/>
    </row>
    <row r="338">
      <c r="B338" s="52"/>
    </row>
    <row r="339">
      <c r="B339" s="52"/>
    </row>
    <row r="340">
      <c r="B340" s="52"/>
    </row>
    <row r="341">
      <c r="B341" s="52"/>
    </row>
    <row r="342">
      <c r="B342" s="52"/>
    </row>
    <row r="343">
      <c r="B343" s="52"/>
    </row>
    <row r="344">
      <c r="B344" s="52"/>
    </row>
    <row r="345">
      <c r="B345" s="52"/>
    </row>
    <row r="346">
      <c r="B346" s="52"/>
    </row>
    <row r="347">
      <c r="B347" s="52"/>
    </row>
    <row r="348">
      <c r="B348" s="52"/>
    </row>
    <row r="349">
      <c r="B349" s="52"/>
    </row>
    <row r="350">
      <c r="B350" s="52"/>
    </row>
    <row r="351">
      <c r="B351" s="52"/>
    </row>
    <row r="352">
      <c r="B352" s="52"/>
    </row>
    <row r="353">
      <c r="B353" s="52"/>
    </row>
    <row r="354">
      <c r="B354" s="52"/>
    </row>
    <row r="355">
      <c r="B355" s="52"/>
    </row>
    <row r="356">
      <c r="B356" s="52"/>
    </row>
    <row r="357">
      <c r="B357" s="52"/>
    </row>
    <row r="358">
      <c r="B358" s="52"/>
    </row>
    <row r="359">
      <c r="B359" s="52"/>
    </row>
    <row r="360">
      <c r="B360" s="52"/>
    </row>
    <row r="361">
      <c r="B361" s="52"/>
    </row>
    <row r="362">
      <c r="B362" s="52"/>
    </row>
    <row r="363">
      <c r="B363" s="52"/>
    </row>
    <row r="364">
      <c r="B364" s="52"/>
    </row>
    <row r="365">
      <c r="B365" s="52"/>
    </row>
    <row r="366">
      <c r="B366" s="52"/>
    </row>
    <row r="367">
      <c r="B367" s="52"/>
    </row>
    <row r="368">
      <c r="B368" s="52"/>
    </row>
    <row r="369">
      <c r="B369" s="52"/>
    </row>
    <row r="370">
      <c r="B370" s="52"/>
    </row>
    <row r="371">
      <c r="B371" s="52"/>
    </row>
    <row r="372">
      <c r="B372" s="52"/>
    </row>
    <row r="373">
      <c r="B373" s="52"/>
    </row>
    <row r="374">
      <c r="B374" s="52"/>
    </row>
    <row r="375">
      <c r="B375" s="52"/>
    </row>
    <row r="376">
      <c r="B376" s="52"/>
    </row>
    <row r="377">
      <c r="B377" s="52"/>
    </row>
    <row r="378">
      <c r="B378" s="52"/>
    </row>
    <row r="379">
      <c r="B379" s="52"/>
    </row>
    <row r="380">
      <c r="B380" s="52"/>
    </row>
    <row r="381">
      <c r="B381" s="52"/>
    </row>
    <row r="382">
      <c r="B382" s="52"/>
    </row>
    <row r="383">
      <c r="B383" s="52"/>
    </row>
    <row r="384">
      <c r="B384" s="52"/>
    </row>
    <row r="385">
      <c r="B385" s="52"/>
    </row>
    <row r="386">
      <c r="B386" s="52"/>
    </row>
    <row r="387">
      <c r="B387" s="52"/>
    </row>
    <row r="388">
      <c r="B388" s="52"/>
    </row>
    <row r="389">
      <c r="B389" s="52"/>
    </row>
    <row r="390">
      <c r="B390" s="52"/>
    </row>
    <row r="391">
      <c r="B391" s="52"/>
    </row>
    <row r="392">
      <c r="B392" s="52"/>
    </row>
    <row r="393">
      <c r="B393" s="52"/>
    </row>
    <row r="394">
      <c r="B394" s="52"/>
    </row>
    <row r="395">
      <c r="B395" s="52"/>
    </row>
    <row r="396">
      <c r="B396" s="52"/>
    </row>
    <row r="397">
      <c r="B397" s="52"/>
    </row>
    <row r="398">
      <c r="B398" s="52"/>
    </row>
    <row r="399">
      <c r="B399" s="52"/>
    </row>
    <row r="400">
      <c r="B400" s="52"/>
    </row>
    <row r="401">
      <c r="B401" s="52"/>
    </row>
    <row r="402">
      <c r="B402" s="52"/>
    </row>
    <row r="403">
      <c r="B403" s="52"/>
    </row>
    <row r="404">
      <c r="B404" s="52"/>
    </row>
    <row r="405">
      <c r="B405" s="52"/>
    </row>
    <row r="406">
      <c r="B406" s="52"/>
    </row>
    <row r="407">
      <c r="B407" s="52"/>
    </row>
    <row r="408">
      <c r="B408" s="52"/>
    </row>
    <row r="409">
      <c r="B409" s="52"/>
    </row>
    <row r="410">
      <c r="B410" s="52"/>
    </row>
    <row r="411">
      <c r="B411" s="52"/>
    </row>
    <row r="412">
      <c r="B412" s="52"/>
    </row>
    <row r="413">
      <c r="B413" s="52"/>
    </row>
    <row r="414">
      <c r="B414" s="52"/>
    </row>
    <row r="415">
      <c r="B415" s="52"/>
    </row>
    <row r="416">
      <c r="B416" s="52"/>
    </row>
    <row r="417">
      <c r="B417" s="52"/>
    </row>
    <row r="418">
      <c r="B418" s="52"/>
    </row>
    <row r="419">
      <c r="B419" s="52"/>
    </row>
    <row r="420">
      <c r="B420" s="52"/>
    </row>
    <row r="421">
      <c r="B421" s="52"/>
    </row>
    <row r="422">
      <c r="B422" s="52"/>
    </row>
    <row r="423">
      <c r="B423" s="52"/>
    </row>
    <row r="424">
      <c r="B424" s="52"/>
    </row>
    <row r="425">
      <c r="B425" s="52"/>
    </row>
    <row r="426">
      <c r="B426" s="52"/>
    </row>
    <row r="427">
      <c r="B427" s="52"/>
    </row>
    <row r="428">
      <c r="B428" s="52"/>
    </row>
    <row r="429">
      <c r="B429" s="52"/>
    </row>
    <row r="430">
      <c r="B430" s="52"/>
    </row>
    <row r="431">
      <c r="B431" s="52"/>
    </row>
    <row r="432">
      <c r="B432" s="52"/>
    </row>
    <row r="433">
      <c r="B433" s="52"/>
    </row>
    <row r="434">
      <c r="B434" s="52"/>
    </row>
    <row r="435">
      <c r="B435" s="52"/>
    </row>
    <row r="436">
      <c r="B436" s="52"/>
    </row>
    <row r="437">
      <c r="B437" s="52"/>
    </row>
    <row r="438">
      <c r="B438" s="52"/>
    </row>
    <row r="439">
      <c r="B439" s="52"/>
    </row>
    <row r="440">
      <c r="B440" s="52"/>
    </row>
    <row r="441">
      <c r="B441" s="52"/>
    </row>
    <row r="442">
      <c r="B442" s="52"/>
    </row>
    <row r="443">
      <c r="B443" s="52"/>
    </row>
    <row r="444">
      <c r="B444" s="52"/>
    </row>
    <row r="445">
      <c r="B445" s="52"/>
    </row>
    <row r="446">
      <c r="B446" s="52"/>
    </row>
    <row r="447">
      <c r="B447" s="52"/>
    </row>
    <row r="448">
      <c r="B448" s="52"/>
    </row>
    <row r="449">
      <c r="B449" s="52"/>
    </row>
    <row r="450">
      <c r="B450" s="52"/>
    </row>
    <row r="451">
      <c r="B451" s="52"/>
    </row>
    <row r="452">
      <c r="B452" s="52"/>
    </row>
    <row r="453">
      <c r="B453" s="52"/>
    </row>
    <row r="454">
      <c r="B454" s="52"/>
    </row>
    <row r="455">
      <c r="B455" s="52"/>
    </row>
    <row r="456">
      <c r="B456" s="52"/>
    </row>
    <row r="457">
      <c r="B457" s="52"/>
    </row>
    <row r="458">
      <c r="B458" s="52"/>
    </row>
    <row r="459">
      <c r="B459" s="52"/>
    </row>
    <row r="460">
      <c r="B460" s="52"/>
    </row>
    <row r="461">
      <c r="B461" s="52"/>
    </row>
    <row r="462">
      <c r="B462" s="52"/>
    </row>
    <row r="463">
      <c r="B463" s="52"/>
    </row>
    <row r="464">
      <c r="B464" s="52"/>
    </row>
    <row r="465">
      <c r="B465" s="52"/>
    </row>
    <row r="466">
      <c r="B466" s="52"/>
    </row>
    <row r="467">
      <c r="B467" s="52"/>
    </row>
    <row r="468">
      <c r="B468" s="52"/>
    </row>
    <row r="469">
      <c r="B469" s="52"/>
    </row>
    <row r="470">
      <c r="B470" s="52"/>
    </row>
    <row r="471">
      <c r="B471" s="52"/>
    </row>
    <row r="472">
      <c r="B472" s="52"/>
    </row>
    <row r="473">
      <c r="B473" s="52"/>
    </row>
    <row r="474">
      <c r="B474" s="52"/>
    </row>
    <row r="475">
      <c r="B475" s="52"/>
    </row>
    <row r="476">
      <c r="B476" s="52"/>
    </row>
    <row r="477">
      <c r="B477" s="52"/>
    </row>
    <row r="478">
      <c r="B478" s="52"/>
    </row>
    <row r="479">
      <c r="B479" s="52"/>
    </row>
    <row r="480">
      <c r="B480" s="52"/>
    </row>
    <row r="481">
      <c r="B481" s="52"/>
    </row>
    <row r="482">
      <c r="B482" s="52"/>
    </row>
    <row r="483">
      <c r="B483" s="52"/>
    </row>
    <row r="484">
      <c r="B484" s="52"/>
    </row>
    <row r="485">
      <c r="B485" s="52"/>
    </row>
    <row r="486">
      <c r="B486" s="52"/>
    </row>
    <row r="487">
      <c r="B487" s="52"/>
    </row>
    <row r="488">
      <c r="B488" s="52"/>
    </row>
    <row r="489">
      <c r="B489" s="52"/>
    </row>
    <row r="490">
      <c r="B490" s="52"/>
    </row>
    <row r="491">
      <c r="B491" s="52"/>
    </row>
    <row r="492">
      <c r="B492" s="52"/>
    </row>
    <row r="493">
      <c r="B493" s="52"/>
    </row>
    <row r="494">
      <c r="B494" s="52"/>
    </row>
    <row r="495">
      <c r="B495" s="52"/>
    </row>
    <row r="496">
      <c r="B496" s="52"/>
    </row>
    <row r="497">
      <c r="B497" s="52"/>
    </row>
    <row r="498">
      <c r="B498" s="52"/>
    </row>
    <row r="499">
      <c r="B499" s="52"/>
    </row>
    <row r="500">
      <c r="B500" s="52"/>
    </row>
    <row r="501">
      <c r="B501" s="52"/>
    </row>
    <row r="502">
      <c r="B502" s="52"/>
    </row>
    <row r="503">
      <c r="B503" s="52"/>
    </row>
    <row r="504">
      <c r="B504" s="52"/>
    </row>
    <row r="505">
      <c r="B505" s="52"/>
    </row>
    <row r="506">
      <c r="B506" s="52"/>
    </row>
    <row r="507">
      <c r="B507" s="52"/>
    </row>
    <row r="508">
      <c r="B508" s="52"/>
    </row>
    <row r="509">
      <c r="B509" s="52"/>
    </row>
    <row r="510">
      <c r="B510" s="52"/>
    </row>
    <row r="511">
      <c r="B511" s="52"/>
    </row>
    <row r="512">
      <c r="B512" s="52"/>
    </row>
    <row r="513">
      <c r="B513" s="52"/>
    </row>
    <row r="514">
      <c r="B514" s="52"/>
    </row>
    <row r="515">
      <c r="B515" s="52"/>
    </row>
    <row r="516">
      <c r="B516" s="52"/>
    </row>
    <row r="517">
      <c r="B517" s="52"/>
    </row>
    <row r="518">
      <c r="B518" s="52"/>
    </row>
    <row r="519">
      <c r="B519" s="52"/>
    </row>
    <row r="520">
      <c r="B520" s="52"/>
    </row>
    <row r="521">
      <c r="B521" s="52"/>
    </row>
    <row r="522">
      <c r="B522" s="52"/>
    </row>
    <row r="523">
      <c r="B523" s="52"/>
    </row>
    <row r="524">
      <c r="B524" s="52"/>
    </row>
    <row r="525">
      <c r="B525" s="52"/>
    </row>
    <row r="526">
      <c r="B526" s="52"/>
    </row>
    <row r="527">
      <c r="B527" s="52"/>
    </row>
    <row r="528">
      <c r="B528" s="52"/>
    </row>
    <row r="529">
      <c r="B529" s="52"/>
    </row>
    <row r="530">
      <c r="B530" s="52"/>
    </row>
    <row r="531">
      <c r="B531" s="52"/>
    </row>
    <row r="532">
      <c r="B532" s="52"/>
    </row>
    <row r="533">
      <c r="B533" s="52"/>
    </row>
    <row r="534">
      <c r="B534" s="52"/>
    </row>
    <row r="535">
      <c r="B535" s="52"/>
    </row>
    <row r="536">
      <c r="B536" s="52"/>
    </row>
    <row r="537">
      <c r="B537" s="52"/>
    </row>
    <row r="538">
      <c r="B538" s="52"/>
    </row>
    <row r="539">
      <c r="B539" s="52"/>
    </row>
    <row r="540">
      <c r="B540" s="52"/>
    </row>
    <row r="541">
      <c r="B541" s="52"/>
    </row>
    <row r="542">
      <c r="B542" s="52"/>
    </row>
    <row r="543">
      <c r="B543" s="52"/>
    </row>
    <row r="544">
      <c r="B544" s="52"/>
    </row>
    <row r="545">
      <c r="B545" s="52"/>
    </row>
    <row r="546">
      <c r="B546" s="52"/>
    </row>
    <row r="547">
      <c r="B547" s="52"/>
    </row>
    <row r="548">
      <c r="B548" s="52"/>
    </row>
    <row r="549">
      <c r="B549" s="52"/>
    </row>
    <row r="550">
      <c r="B550" s="52"/>
    </row>
    <row r="551">
      <c r="B551" s="52"/>
    </row>
    <row r="552">
      <c r="B552" s="52"/>
    </row>
    <row r="553">
      <c r="B553" s="52"/>
    </row>
    <row r="554">
      <c r="B554" s="52"/>
    </row>
    <row r="555">
      <c r="B555" s="52"/>
    </row>
    <row r="556">
      <c r="B556" s="52"/>
    </row>
    <row r="557">
      <c r="B557" s="52"/>
    </row>
    <row r="558">
      <c r="B558" s="52"/>
    </row>
    <row r="559">
      <c r="B559" s="52"/>
    </row>
    <row r="560">
      <c r="B560" s="52"/>
    </row>
    <row r="561">
      <c r="B561" s="52"/>
    </row>
    <row r="562">
      <c r="B562" s="52"/>
    </row>
    <row r="563">
      <c r="B563" s="52"/>
    </row>
    <row r="564">
      <c r="B564" s="52"/>
    </row>
    <row r="565">
      <c r="B565" s="52"/>
    </row>
    <row r="566">
      <c r="B566" s="52"/>
    </row>
    <row r="567">
      <c r="B567" s="52"/>
    </row>
    <row r="568">
      <c r="B568" s="52"/>
    </row>
    <row r="569">
      <c r="B569" s="52"/>
    </row>
    <row r="570">
      <c r="B570" s="52"/>
    </row>
    <row r="571">
      <c r="B571" s="52"/>
    </row>
    <row r="572">
      <c r="B572" s="52"/>
    </row>
    <row r="573">
      <c r="B573" s="52"/>
    </row>
    <row r="574">
      <c r="B574" s="52"/>
    </row>
    <row r="575">
      <c r="B575" s="52"/>
    </row>
    <row r="576">
      <c r="B576" s="52"/>
    </row>
    <row r="577">
      <c r="B577" s="52"/>
    </row>
    <row r="578">
      <c r="B578" s="52"/>
    </row>
    <row r="579">
      <c r="B579" s="52"/>
    </row>
    <row r="580">
      <c r="B580" s="52"/>
    </row>
    <row r="581">
      <c r="B581" s="52"/>
    </row>
    <row r="582">
      <c r="B582" s="52"/>
    </row>
    <row r="583">
      <c r="B583" s="52"/>
    </row>
    <row r="584">
      <c r="B584" s="52"/>
    </row>
    <row r="585">
      <c r="B585" s="52"/>
    </row>
    <row r="586">
      <c r="B586" s="52"/>
    </row>
    <row r="587">
      <c r="B587" s="52"/>
    </row>
    <row r="588">
      <c r="B588" s="52"/>
    </row>
    <row r="589">
      <c r="B589" s="52"/>
    </row>
    <row r="590">
      <c r="B590" s="52"/>
    </row>
    <row r="591">
      <c r="B591" s="52"/>
    </row>
    <row r="592">
      <c r="B592" s="52"/>
    </row>
    <row r="593">
      <c r="B593" s="52"/>
    </row>
    <row r="594">
      <c r="B594" s="52"/>
    </row>
    <row r="595">
      <c r="B595" s="52"/>
    </row>
    <row r="596">
      <c r="B596" s="52"/>
    </row>
    <row r="597">
      <c r="B597" s="52"/>
    </row>
    <row r="598">
      <c r="B598" s="52"/>
    </row>
    <row r="599">
      <c r="B599" s="52"/>
    </row>
    <row r="600">
      <c r="B600" s="52"/>
    </row>
    <row r="601">
      <c r="B601" s="52"/>
    </row>
    <row r="602">
      <c r="B602" s="52"/>
    </row>
    <row r="603">
      <c r="B603" s="52"/>
    </row>
    <row r="604">
      <c r="B604" s="52"/>
    </row>
    <row r="605">
      <c r="B605" s="52"/>
    </row>
    <row r="606">
      <c r="B606" s="52"/>
    </row>
    <row r="607">
      <c r="B607" s="52"/>
    </row>
    <row r="608">
      <c r="B608" s="52"/>
    </row>
    <row r="609">
      <c r="B609" s="52"/>
    </row>
    <row r="610">
      <c r="B610" s="52"/>
    </row>
    <row r="611">
      <c r="B611" s="52"/>
    </row>
    <row r="612">
      <c r="B612" s="52"/>
    </row>
    <row r="613">
      <c r="B613" s="52"/>
    </row>
    <row r="614">
      <c r="B614" s="52"/>
    </row>
    <row r="615">
      <c r="B615" s="52"/>
    </row>
    <row r="616">
      <c r="B616" s="52"/>
    </row>
    <row r="617">
      <c r="B617" s="52"/>
    </row>
    <row r="618">
      <c r="B618" s="52"/>
    </row>
    <row r="619">
      <c r="B619" s="52"/>
    </row>
    <row r="620">
      <c r="B620" s="52"/>
    </row>
    <row r="621">
      <c r="B621" s="52"/>
    </row>
    <row r="622">
      <c r="B622" s="52"/>
    </row>
    <row r="623">
      <c r="B623" s="52"/>
    </row>
    <row r="624">
      <c r="B624" s="52"/>
    </row>
    <row r="625">
      <c r="B625" s="52"/>
    </row>
    <row r="626">
      <c r="B626" s="52"/>
    </row>
    <row r="627">
      <c r="B627" s="52"/>
    </row>
    <row r="628">
      <c r="B628" s="52"/>
    </row>
    <row r="629">
      <c r="B629" s="52"/>
    </row>
    <row r="630">
      <c r="B630" s="52"/>
    </row>
    <row r="631">
      <c r="B631" s="52"/>
    </row>
    <row r="632">
      <c r="B632" s="52"/>
    </row>
    <row r="633">
      <c r="B633" s="52"/>
    </row>
    <row r="634">
      <c r="B634" s="52"/>
    </row>
    <row r="635">
      <c r="B635" s="52"/>
    </row>
    <row r="636">
      <c r="B636" s="52"/>
    </row>
    <row r="637">
      <c r="B637" s="52"/>
    </row>
    <row r="638">
      <c r="B638" s="52"/>
    </row>
    <row r="639">
      <c r="B639" s="52"/>
    </row>
    <row r="640">
      <c r="B640" s="52"/>
    </row>
    <row r="641">
      <c r="B641" s="52"/>
    </row>
    <row r="642">
      <c r="B642" s="52"/>
    </row>
    <row r="643">
      <c r="B643" s="52"/>
    </row>
    <row r="644">
      <c r="B644" s="52"/>
    </row>
    <row r="645">
      <c r="B645" s="52"/>
    </row>
    <row r="646">
      <c r="B646" s="52"/>
    </row>
    <row r="647">
      <c r="B647" s="52"/>
    </row>
    <row r="648">
      <c r="B648" s="52"/>
    </row>
    <row r="649">
      <c r="B649" s="52"/>
    </row>
    <row r="650">
      <c r="B650" s="52"/>
    </row>
    <row r="651">
      <c r="B651" s="52"/>
    </row>
    <row r="652">
      <c r="B652" s="52"/>
    </row>
    <row r="653">
      <c r="B653" s="52"/>
    </row>
    <row r="654">
      <c r="B654" s="52"/>
    </row>
    <row r="655">
      <c r="B655" s="52"/>
    </row>
    <row r="656">
      <c r="B656" s="52"/>
    </row>
    <row r="657">
      <c r="B657" s="52"/>
    </row>
    <row r="658">
      <c r="B658" s="52"/>
    </row>
    <row r="659">
      <c r="B659" s="52"/>
    </row>
    <row r="660">
      <c r="B660" s="52"/>
    </row>
    <row r="661">
      <c r="B661" s="52"/>
    </row>
    <row r="662">
      <c r="B662" s="52"/>
    </row>
    <row r="663">
      <c r="B663" s="52"/>
    </row>
    <row r="664">
      <c r="B664" s="52"/>
    </row>
    <row r="665">
      <c r="B665" s="52"/>
    </row>
    <row r="666">
      <c r="B666" s="52"/>
    </row>
    <row r="667">
      <c r="B667" s="52"/>
    </row>
    <row r="668">
      <c r="B668" s="52"/>
    </row>
    <row r="669">
      <c r="B669" s="52"/>
    </row>
    <row r="670">
      <c r="B670" s="52"/>
    </row>
    <row r="671">
      <c r="B671" s="52"/>
    </row>
    <row r="672">
      <c r="B672" s="52"/>
    </row>
    <row r="673">
      <c r="B673" s="52"/>
    </row>
    <row r="674">
      <c r="B674" s="52"/>
    </row>
    <row r="675">
      <c r="B675" s="52"/>
    </row>
    <row r="676">
      <c r="B676" s="52"/>
    </row>
    <row r="677">
      <c r="B677" s="52"/>
    </row>
    <row r="678">
      <c r="B678" s="52"/>
    </row>
    <row r="679">
      <c r="B679" s="52"/>
    </row>
    <row r="680">
      <c r="B680" s="52"/>
    </row>
    <row r="681">
      <c r="B681" s="52"/>
    </row>
    <row r="682">
      <c r="B682" s="52"/>
    </row>
    <row r="683">
      <c r="B683" s="52"/>
    </row>
    <row r="684">
      <c r="B684" s="52"/>
    </row>
    <row r="685">
      <c r="B685" s="52"/>
    </row>
    <row r="686">
      <c r="B686" s="52"/>
    </row>
    <row r="687">
      <c r="B687" s="52"/>
    </row>
    <row r="688">
      <c r="B688" s="52"/>
    </row>
    <row r="689">
      <c r="B689" s="52"/>
    </row>
    <row r="690">
      <c r="B690" s="52"/>
    </row>
    <row r="691">
      <c r="B691" s="52"/>
    </row>
    <row r="692">
      <c r="B692" s="52"/>
    </row>
    <row r="693">
      <c r="B693" s="52"/>
    </row>
    <row r="694">
      <c r="B694" s="52"/>
    </row>
    <row r="695">
      <c r="B695" s="52"/>
    </row>
    <row r="696">
      <c r="B696" s="52"/>
    </row>
    <row r="697">
      <c r="B697" s="52"/>
    </row>
    <row r="698">
      <c r="B698" s="52"/>
    </row>
    <row r="699">
      <c r="B699" s="52"/>
    </row>
    <row r="700">
      <c r="B700" s="52"/>
    </row>
    <row r="701">
      <c r="B701" s="52"/>
    </row>
    <row r="702">
      <c r="B702" s="52"/>
    </row>
    <row r="703">
      <c r="B703" s="52"/>
    </row>
    <row r="704">
      <c r="B704" s="52"/>
    </row>
    <row r="705">
      <c r="B705" s="52"/>
    </row>
    <row r="706">
      <c r="B706" s="52"/>
    </row>
    <row r="707">
      <c r="B707" s="52"/>
    </row>
    <row r="708">
      <c r="B708" s="52"/>
    </row>
    <row r="709">
      <c r="B709" s="52"/>
    </row>
    <row r="710">
      <c r="B710" s="52"/>
    </row>
    <row r="711">
      <c r="B711" s="52"/>
    </row>
    <row r="712">
      <c r="B712" s="52"/>
    </row>
    <row r="713">
      <c r="B713" s="52"/>
    </row>
    <row r="714">
      <c r="B714" s="52"/>
    </row>
    <row r="715">
      <c r="B715" s="52"/>
    </row>
    <row r="716">
      <c r="B716" s="52"/>
    </row>
    <row r="717">
      <c r="B717" s="52"/>
    </row>
    <row r="718">
      <c r="B718" s="52"/>
    </row>
    <row r="719">
      <c r="B719" s="52"/>
    </row>
    <row r="720">
      <c r="B720" s="52"/>
    </row>
    <row r="721">
      <c r="B721" s="52"/>
    </row>
    <row r="722">
      <c r="B722" s="52"/>
    </row>
    <row r="723">
      <c r="B723" s="52"/>
    </row>
    <row r="724">
      <c r="B724" s="52"/>
    </row>
    <row r="725">
      <c r="B725" s="52"/>
    </row>
    <row r="726">
      <c r="B726" s="52"/>
    </row>
    <row r="727">
      <c r="B727" s="52"/>
    </row>
    <row r="728">
      <c r="B728" s="52"/>
    </row>
    <row r="729">
      <c r="B729" s="52"/>
    </row>
    <row r="730">
      <c r="B730" s="52"/>
    </row>
    <row r="731">
      <c r="B731" s="52"/>
    </row>
    <row r="732">
      <c r="B732" s="52"/>
    </row>
    <row r="733">
      <c r="B733" s="52"/>
    </row>
    <row r="734">
      <c r="B734" s="52"/>
    </row>
    <row r="735">
      <c r="B735" s="52"/>
    </row>
    <row r="736">
      <c r="B736" s="52"/>
    </row>
    <row r="737">
      <c r="B737" s="52"/>
    </row>
    <row r="738">
      <c r="B738" s="52"/>
    </row>
    <row r="739">
      <c r="B739" s="52"/>
    </row>
    <row r="740">
      <c r="B740" s="52"/>
    </row>
    <row r="741">
      <c r="B741" s="52"/>
    </row>
    <row r="742">
      <c r="B742" s="52"/>
    </row>
    <row r="743">
      <c r="B743" s="52"/>
    </row>
    <row r="744">
      <c r="B744" s="52"/>
    </row>
    <row r="745">
      <c r="B745" s="52"/>
    </row>
    <row r="746">
      <c r="B746" s="52"/>
    </row>
    <row r="747">
      <c r="B747" s="52"/>
    </row>
    <row r="748">
      <c r="B748" s="52"/>
    </row>
    <row r="749">
      <c r="B749" s="52"/>
    </row>
    <row r="750">
      <c r="B750" s="52"/>
    </row>
    <row r="751">
      <c r="B751" s="52"/>
    </row>
    <row r="752">
      <c r="B752" s="52"/>
    </row>
    <row r="753">
      <c r="B753" s="52"/>
    </row>
    <row r="754">
      <c r="B754" s="52"/>
    </row>
    <row r="755">
      <c r="B755" s="52"/>
    </row>
    <row r="756">
      <c r="B756" s="52"/>
    </row>
    <row r="757">
      <c r="B757" s="52"/>
    </row>
    <row r="758">
      <c r="B758" s="52"/>
    </row>
    <row r="759">
      <c r="B759" s="52"/>
    </row>
    <row r="760">
      <c r="B760" s="52"/>
    </row>
    <row r="761">
      <c r="B761" s="52"/>
    </row>
    <row r="762">
      <c r="B762" s="52"/>
    </row>
    <row r="763">
      <c r="B763" s="52"/>
    </row>
    <row r="764">
      <c r="B764" s="52"/>
    </row>
    <row r="765">
      <c r="B765" s="52"/>
    </row>
    <row r="766">
      <c r="B766" s="52"/>
    </row>
    <row r="767">
      <c r="B767" s="52"/>
    </row>
    <row r="768">
      <c r="B768" s="52"/>
    </row>
    <row r="769">
      <c r="B769" s="52"/>
    </row>
    <row r="770">
      <c r="B770" s="52"/>
    </row>
    <row r="771">
      <c r="B771" s="52"/>
    </row>
    <row r="772">
      <c r="B772" s="52"/>
    </row>
    <row r="773">
      <c r="B773" s="52"/>
    </row>
    <row r="774">
      <c r="B774" s="52"/>
    </row>
    <row r="775">
      <c r="B775" s="52"/>
    </row>
    <row r="776">
      <c r="B776" s="52"/>
    </row>
    <row r="777">
      <c r="B777" s="52"/>
    </row>
    <row r="778">
      <c r="B778" s="52"/>
    </row>
    <row r="779">
      <c r="B779" s="52"/>
    </row>
    <row r="780">
      <c r="B780" s="52"/>
    </row>
    <row r="781">
      <c r="B781" s="52"/>
    </row>
    <row r="782">
      <c r="B782" s="52"/>
    </row>
    <row r="783">
      <c r="B783" s="52"/>
    </row>
    <row r="784">
      <c r="B784" s="52"/>
    </row>
    <row r="785">
      <c r="B785" s="52"/>
    </row>
    <row r="786">
      <c r="B786" s="52"/>
    </row>
    <row r="787">
      <c r="B787" s="52"/>
    </row>
    <row r="788">
      <c r="B788" s="52"/>
    </row>
    <row r="789">
      <c r="B789" s="52"/>
    </row>
    <row r="790">
      <c r="B790" s="52"/>
    </row>
    <row r="791">
      <c r="B791" s="52"/>
    </row>
    <row r="792">
      <c r="B792" s="52"/>
    </row>
    <row r="793">
      <c r="B793" s="52"/>
    </row>
    <row r="794">
      <c r="B794" s="52"/>
    </row>
    <row r="795">
      <c r="B795" s="52"/>
    </row>
    <row r="796">
      <c r="B796" s="52"/>
    </row>
    <row r="797">
      <c r="B797" s="52"/>
    </row>
    <row r="798">
      <c r="B798" s="52"/>
    </row>
    <row r="799">
      <c r="B799" s="52"/>
    </row>
    <row r="800">
      <c r="B800" s="52"/>
    </row>
    <row r="801">
      <c r="B801" s="52"/>
    </row>
    <row r="802">
      <c r="B802" s="52"/>
    </row>
    <row r="803">
      <c r="B803" s="52"/>
    </row>
    <row r="804">
      <c r="B804" s="52"/>
    </row>
    <row r="805">
      <c r="B805" s="52"/>
    </row>
    <row r="806">
      <c r="B806" s="52"/>
    </row>
    <row r="807">
      <c r="B807" s="52"/>
    </row>
    <row r="808">
      <c r="B808" s="52"/>
    </row>
    <row r="809">
      <c r="B809" s="52"/>
    </row>
    <row r="810">
      <c r="B810" s="52"/>
    </row>
    <row r="811">
      <c r="B811" s="52"/>
    </row>
    <row r="812">
      <c r="B812" s="52"/>
    </row>
    <row r="813">
      <c r="B813" s="52"/>
    </row>
    <row r="814">
      <c r="B814" s="52"/>
    </row>
    <row r="815">
      <c r="B815" s="52"/>
    </row>
    <row r="816">
      <c r="B816" s="52"/>
    </row>
    <row r="817">
      <c r="B817" s="52"/>
    </row>
    <row r="818">
      <c r="B818" s="52"/>
    </row>
    <row r="819">
      <c r="B819" s="52"/>
    </row>
    <row r="820">
      <c r="B820" s="52"/>
    </row>
    <row r="821">
      <c r="B821" s="52"/>
    </row>
    <row r="822">
      <c r="B822" s="52"/>
    </row>
    <row r="823">
      <c r="B823" s="52"/>
    </row>
    <row r="824">
      <c r="B824" s="52"/>
    </row>
    <row r="825">
      <c r="B825" s="52"/>
    </row>
    <row r="826">
      <c r="B826" s="52"/>
    </row>
    <row r="827">
      <c r="B827" s="52"/>
    </row>
    <row r="828">
      <c r="B828" s="52"/>
    </row>
    <row r="829">
      <c r="B829" s="52"/>
    </row>
    <row r="830">
      <c r="B830" s="52"/>
    </row>
    <row r="831">
      <c r="B831" s="52"/>
    </row>
    <row r="832">
      <c r="B832" s="52"/>
    </row>
    <row r="833">
      <c r="B833" s="52"/>
    </row>
    <row r="834">
      <c r="B834" s="52"/>
    </row>
    <row r="835">
      <c r="B835" s="52"/>
    </row>
    <row r="836">
      <c r="B836" s="52"/>
    </row>
    <row r="837">
      <c r="B837" s="52"/>
    </row>
    <row r="838">
      <c r="B838" s="52"/>
    </row>
    <row r="839">
      <c r="B839" s="52"/>
    </row>
    <row r="840">
      <c r="B840" s="52"/>
    </row>
    <row r="841">
      <c r="B841" s="52"/>
    </row>
    <row r="842">
      <c r="B842" s="52"/>
    </row>
    <row r="843">
      <c r="B843" s="52"/>
    </row>
    <row r="844">
      <c r="B844" s="52"/>
    </row>
    <row r="845">
      <c r="B845" s="52"/>
    </row>
    <row r="846">
      <c r="B846" s="52"/>
    </row>
    <row r="847">
      <c r="B847" s="52"/>
    </row>
    <row r="848">
      <c r="B848" s="52"/>
    </row>
    <row r="849">
      <c r="B849" s="52"/>
    </row>
    <row r="850">
      <c r="B850" s="52"/>
    </row>
    <row r="851">
      <c r="B851" s="52"/>
    </row>
    <row r="852">
      <c r="B852" s="52"/>
    </row>
    <row r="853">
      <c r="B853" s="52"/>
    </row>
    <row r="854">
      <c r="B854" s="52"/>
    </row>
    <row r="855">
      <c r="B855" s="52"/>
    </row>
    <row r="856">
      <c r="B856" s="52"/>
    </row>
    <row r="857">
      <c r="B857" s="52"/>
    </row>
    <row r="858">
      <c r="B858" s="52"/>
    </row>
    <row r="859">
      <c r="B859" s="52"/>
    </row>
    <row r="860">
      <c r="B860" s="52"/>
    </row>
    <row r="861">
      <c r="B861" s="52"/>
    </row>
    <row r="862">
      <c r="B862" s="52"/>
    </row>
    <row r="863">
      <c r="B863" s="52"/>
    </row>
    <row r="864">
      <c r="B864" s="52"/>
    </row>
    <row r="865">
      <c r="B865" s="52"/>
    </row>
    <row r="866">
      <c r="B866" s="52"/>
    </row>
    <row r="867">
      <c r="B867" s="52"/>
    </row>
    <row r="868">
      <c r="B868" s="52"/>
    </row>
    <row r="869">
      <c r="B869" s="52"/>
    </row>
    <row r="870">
      <c r="B870" s="52"/>
    </row>
    <row r="871">
      <c r="B871" s="52"/>
    </row>
    <row r="872">
      <c r="B872" s="52"/>
    </row>
    <row r="873">
      <c r="B873" s="52"/>
    </row>
    <row r="874">
      <c r="B874" s="52"/>
    </row>
    <row r="875">
      <c r="B875" s="52"/>
    </row>
    <row r="876">
      <c r="B876" s="52"/>
    </row>
    <row r="877">
      <c r="B877" s="52"/>
    </row>
    <row r="878">
      <c r="B878" s="52"/>
    </row>
    <row r="879">
      <c r="B879" s="52"/>
    </row>
    <row r="880">
      <c r="B880" s="52"/>
    </row>
    <row r="881">
      <c r="B881" s="52"/>
    </row>
    <row r="882">
      <c r="B882" s="52"/>
    </row>
    <row r="883">
      <c r="B883" s="52"/>
    </row>
    <row r="884">
      <c r="B884" s="52"/>
    </row>
    <row r="885">
      <c r="B885" s="52"/>
    </row>
    <row r="886">
      <c r="B886" s="52"/>
    </row>
    <row r="887">
      <c r="B887" s="52"/>
    </row>
    <row r="888">
      <c r="B888" s="52"/>
    </row>
    <row r="889">
      <c r="B889" s="52"/>
    </row>
    <row r="890">
      <c r="B890" s="52"/>
    </row>
    <row r="891">
      <c r="B891" s="52"/>
    </row>
    <row r="892">
      <c r="B892" s="52"/>
    </row>
    <row r="893">
      <c r="B893" s="52"/>
    </row>
    <row r="894">
      <c r="B894" s="52"/>
    </row>
    <row r="895">
      <c r="B895" s="52"/>
    </row>
    <row r="896">
      <c r="B896" s="52"/>
    </row>
    <row r="897">
      <c r="B897" s="52"/>
    </row>
    <row r="898">
      <c r="B898" s="52"/>
    </row>
    <row r="899">
      <c r="B899" s="52"/>
    </row>
    <row r="900">
      <c r="B900" s="52"/>
    </row>
    <row r="901">
      <c r="B901" s="52"/>
    </row>
    <row r="902">
      <c r="B902" s="52"/>
    </row>
    <row r="903">
      <c r="B903" s="52"/>
    </row>
    <row r="904">
      <c r="B904" s="52"/>
    </row>
    <row r="905">
      <c r="B905" s="52"/>
    </row>
    <row r="906">
      <c r="B906" s="52"/>
    </row>
    <row r="907">
      <c r="B907" s="52"/>
    </row>
    <row r="908">
      <c r="B908" s="52"/>
    </row>
    <row r="909">
      <c r="B909" s="52"/>
    </row>
    <row r="910">
      <c r="B910" s="52"/>
    </row>
    <row r="911">
      <c r="B911" s="52"/>
    </row>
    <row r="912">
      <c r="B912" s="52"/>
    </row>
    <row r="913">
      <c r="B913" s="52"/>
    </row>
    <row r="914">
      <c r="B914" s="52"/>
    </row>
    <row r="915">
      <c r="B915" s="52"/>
    </row>
    <row r="916">
      <c r="B916" s="52"/>
    </row>
    <row r="917">
      <c r="B917" s="52"/>
    </row>
    <row r="918">
      <c r="B918" s="52"/>
    </row>
    <row r="919">
      <c r="B919" s="52"/>
    </row>
    <row r="920">
      <c r="B920" s="52"/>
    </row>
    <row r="921">
      <c r="B921" s="52"/>
    </row>
    <row r="922">
      <c r="B922" s="52"/>
    </row>
    <row r="923">
      <c r="B923" s="52"/>
    </row>
    <row r="924">
      <c r="B924" s="52"/>
    </row>
    <row r="925">
      <c r="B925" s="52"/>
    </row>
    <row r="926">
      <c r="B926" s="52"/>
    </row>
    <row r="927">
      <c r="B927" s="52"/>
    </row>
    <row r="928">
      <c r="B928" s="52"/>
    </row>
    <row r="929">
      <c r="B929" s="52"/>
    </row>
    <row r="930">
      <c r="B930" s="52"/>
    </row>
    <row r="931">
      <c r="B931" s="52"/>
    </row>
    <row r="932">
      <c r="B932" s="52"/>
    </row>
    <row r="933">
      <c r="B933" s="52"/>
    </row>
    <row r="934">
      <c r="B934" s="52"/>
    </row>
    <row r="935">
      <c r="B935" s="52"/>
    </row>
    <row r="936">
      <c r="B936" s="52"/>
    </row>
    <row r="937">
      <c r="B937" s="52"/>
    </row>
    <row r="938">
      <c r="B938" s="52"/>
    </row>
    <row r="939">
      <c r="B939" s="52"/>
    </row>
    <row r="940">
      <c r="B940" s="52"/>
    </row>
    <row r="941">
      <c r="B941" s="52"/>
    </row>
    <row r="942">
      <c r="B942" s="52"/>
    </row>
    <row r="943">
      <c r="B943" s="52"/>
    </row>
    <row r="944">
      <c r="B944" s="52"/>
    </row>
    <row r="945">
      <c r="B945" s="52"/>
    </row>
    <row r="946">
      <c r="B946" s="52"/>
    </row>
    <row r="947">
      <c r="B947" s="52"/>
    </row>
    <row r="948">
      <c r="B948" s="52"/>
    </row>
    <row r="949">
      <c r="B949" s="52"/>
    </row>
    <row r="950">
      <c r="B950" s="52"/>
    </row>
    <row r="951">
      <c r="B951" s="52"/>
    </row>
    <row r="952">
      <c r="B952" s="52"/>
    </row>
    <row r="953">
      <c r="B953" s="52"/>
    </row>
    <row r="954">
      <c r="B954" s="52"/>
    </row>
    <row r="955">
      <c r="B955" s="52"/>
    </row>
    <row r="956">
      <c r="B956" s="52"/>
    </row>
    <row r="957">
      <c r="B957" s="52"/>
    </row>
    <row r="958">
      <c r="B958" s="52"/>
    </row>
    <row r="959">
      <c r="B959" s="52"/>
    </row>
    <row r="960">
      <c r="B960" s="52"/>
    </row>
    <row r="961">
      <c r="B961" s="52"/>
    </row>
    <row r="962">
      <c r="B962" s="52"/>
    </row>
    <row r="963">
      <c r="B963" s="52"/>
    </row>
    <row r="964">
      <c r="B964" s="52"/>
    </row>
    <row r="965">
      <c r="B965" s="52"/>
    </row>
    <row r="966">
      <c r="B966" s="52"/>
    </row>
    <row r="967">
      <c r="B967" s="52"/>
    </row>
    <row r="968">
      <c r="B968" s="52"/>
    </row>
    <row r="969">
      <c r="B969" s="52"/>
    </row>
    <row r="970">
      <c r="B970" s="52"/>
    </row>
    <row r="971">
      <c r="B971" s="52"/>
    </row>
    <row r="972">
      <c r="B972" s="52"/>
    </row>
    <row r="973">
      <c r="B973" s="52"/>
    </row>
    <row r="974">
      <c r="B974" s="52"/>
    </row>
    <row r="975">
      <c r="B975" s="52"/>
    </row>
    <row r="976">
      <c r="B976" s="52"/>
    </row>
    <row r="977">
      <c r="B977" s="52"/>
    </row>
    <row r="978">
      <c r="B978" s="52"/>
    </row>
    <row r="979">
      <c r="B979" s="52"/>
    </row>
    <row r="980">
      <c r="B980" s="52"/>
    </row>
    <row r="981">
      <c r="B981" s="52"/>
    </row>
    <row r="982">
      <c r="B982" s="52"/>
    </row>
    <row r="983">
      <c r="B983" s="52"/>
    </row>
    <row r="984">
      <c r="B984" s="52"/>
    </row>
    <row r="985">
      <c r="B985" s="52"/>
    </row>
    <row r="986">
      <c r="B986" s="52"/>
    </row>
    <row r="987">
      <c r="B987" s="52"/>
    </row>
    <row r="988">
      <c r="B988" s="52"/>
    </row>
    <row r="989">
      <c r="B989" s="52"/>
    </row>
    <row r="990">
      <c r="B990" s="52"/>
    </row>
    <row r="991">
      <c r="B991" s="52"/>
    </row>
    <row r="992">
      <c r="B992" s="52"/>
    </row>
    <row r="993">
      <c r="B993" s="52"/>
    </row>
    <row r="994">
      <c r="B994" s="52"/>
    </row>
    <row r="995">
      <c r="B995" s="52"/>
    </row>
    <row r="996">
      <c r="B996" s="52"/>
    </row>
    <row r="997">
      <c r="B997" s="52"/>
    </row>
    <row r="998">
      <c r="B998" s="52"/>
    </row>
    <row r="999">
      <c r="B999" s="52"/>
    </row>
    <row r="1000">
      <c r="B1000" s="52"/>
    </row>
  </sheetData>
  <mergeCells count="1">
    <mergeCell ref="B1:G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3.5"/>
    <col customWidth="1" min="2" max="2" width="15.5"/>
    <col customWidth="1" min="3" max="3" width="15.88"/>
    <col customWidth="1" min="4" max="4" width="20.0"/>
    <col customWidth="1" min="5" max="5" width="19.0"/>
    <col customWidth="1" min="6" max="6" width="20.88"/>
    <col customWidth="1" min="7" max="7" width="17.13"/>
  </cols>
  <sheetData>
    <row r="1">
      <c r="B1" s="3" t="s">
        <v>2</v>
      </c>
    </row>
    <row r="2">
      <c r="A2" s="1" t="s">
        <v>5</v>
      </c>
      <c r="B2" s="7" t="s">
        <v>7</v>
      </c>
      <c r="C2" s="9" t="s">
        <v>9</v>
      </c>
      <c r="D2" s="10" t="s">
        <v>11</v>
      </c>
      <c r="E2" s="11" t="s">
        <v>13</v>
      </c>
      <c r="F2" s="13" t="s">
        <v>15</v>
      </c>
      <c r="G2" s="15" t="s">
        <v>17</v>
      </c>
    </row>
    <row r="3">
      <c r="A3" s="17" t="s">
        <v>270</v>
      </c>
      <c r="B3" s="19" t="s">
        <v>271</v>
      </c>
      <c r="C3" s="19" t="s">
        <v>26</v>
      </c>
      <c r="D3" s="19" t="s">
        <v>272</v>
      </c>
      <c r="E3" s="19">
        <v>1.125</v>
      </c>
      <c r="F3" s="19">
        <v>1.15</v>
      </c>
      <c r="G3" s="19">
        <v>1.2</v>
      </c>
    </row>
    <row r="4">
      <c r="A4" s="17" t="s">
        <v>273</v>
      </c>
      <c r="B4" s="19" t="s">
        <v>23</v>
      </c>
      <c r="C4" s="19" t="s">
        <v>274</v>
      </c>
      <c r="D4" s="19" t="s">
        <v>82</v>
      </c>
      <c r="E4" s="19" t="s">
        <v>275</v>
      </c>
      <c r="F4" s="19">
        <v>1.075</v>
      </c>
      <c r="G4" s="19">
        <v>1.1</v>
      </c>
    </row>
    <row r="5">
      <c r="A5" s="4" t="s">
        <v>277</v>
      </c>
      <c r="B5" s="19" t="s">
        <v>27</v>
      </c>
      <c r="C5" s="19" t="s">
        <v>36</v>
      </c>
      <c r="D5" s="19" t="s">
        <v>49</v>
      </c>
      <c r="E5" s="19">
        <v>1.4</v>
      </c>
      <c r="F5" s="19">
        <v>1.5</v>
      </c>
      <c r="G5" s="19">
        <v>1.6</v>
      </c>
    </row>
    <row r="6">
      <c r="A6" s="4" t="s">
        <v>278</v>
      </c>
      <c r="B6" s="19" t="s">
        <v>26</v>
      </c>
      <c r="C6" s="19" t="s">
        <v>27</v>
      </c>
      <c r="D6" s="19" t="s">
        <v>42</v>
      </c>
      <c r="E6" s="19">
        <v>1.2</v>
      </c>
      <c r="F6" s="19">
        <v>1.25</v>
      </c>
      <c r="G6" s="19">
        <v>1.35</v>
      </c>
    </row>
    <row r="7">
      <c r="A7" s="17" t="s">
        <v>279</v>
      </c>
      <c r="B7" s="19" t="s">
        <v>26</v>
      </c>
      <c r="C7" s="19" t="s">
        <v>27</v>
      </c>
      <c r="D7" s="19" t="s">
        <v>42</v>
      </c>
      <c r="E7" s="19">
        <v>1.2</v>
      </c>
      <c r="F7" s="19">
        <v>1.25</v>
      </c>
      <c r="G7" s="19">
        <v>1.35</v>
      </c>
    </row>
    <row r="8">
      <c r="A8" s="17" t="s">
        <v>280</v>
      </c>
      <c r="B8" s="19" t="s">
        <v>26</v>
      </c>
      <c r="C8" s="19" t="s">
        <v>27</v>
      </c>
      <c r="D8" s="19" t="s">
        <v>36</v>
      </c>
      <c r="E8" s="19" t="s">
        <v>281</v>
      </c>
      <c r="F8" s="19" t="s">
        <v>282</v>
      </c>
      <c r="G8" s="19" t="s">
        <v>31</v>
      </c>
    </row>
    <row r="9">
      <c r="A9" s="17" t="s">
        <v>283</v>
      </c>
      <c r="B9" s="19" t="s">
        <v>26</v>
      </c>
      <c r="C9" s="19" t="s">
        <v>27</v>
      </c>
      <c r="D9" s="19">
        <v>1.2</v>
      </c>
      <c r="E9" s="19" t="s">
        <v>281</v>
      </c>
      <c r="F9" s="19" t="s">
        <v>282</v>
      </c>
      <c r="G9" s="19" t="s">
        <v>31</v>
      </c>
    </row>
    <row r="10">
      <c r="A10" s="26" t="s">
        <v>284</v>
      </c>
      <c r="B10" s="19" t="s">
        <v>27</v>
      </c>
      <c r="C10" s="19" t="s">
        <v>28</v>
      </c>
      <c r="D10" s="19" t="s">
        <v>281</v>
      </c>
      <c r="E10" s="19" t="s">
        <v>281</v>
      </c>
      <c r="F10" s="19" t="s">
        <v>282</v>
      </c>
      <c r="G10" s="30"/>
    </row>
    <row r="11">
      <c r="A11" s="35" t="s">
        <v>288</v>
      </c>
      <c r="B11" s="19" t="s">
        <v>27</v>
      </c>
      <c r="C11" s="19" t="s">
        <v>36</v>
      </c>
      <c r="D11" s="19" t="s">
        <v>49</v>
      </c>
      <c r="E11" s="19" t="s">
        <v>30</v>
      </c>
      <c r="F11" s="19" t="s">
        <v>282</v>
      </c>
      <c r="G11" s="30"/>
    </row>
    <row r="12">
      <c r="A12" s="4" t="s">
        <v>289</v>
      </c>
      <c r="B12" s="19" t="s">
        <v>26</v>
      </c>
      <c r="C12" s="19" t="s">
        <v>85</v>
      </c>
      <c r="D12" s="19" t="s">
        <v>292</v>
      </c>
      <c r="E12" s="19" t="s">
        <v>294</v>
      </c>
      <c r="F12" s="19">
        <v>1.17</v>
      </c>
      <c r="G12" s="30"/>
    </row>
    <row r="13">
      <c r="A13" s="26" t="s">
        <v>298</v>
      </c>
      <c r="B13" s="19" t="s">
        <v>28</v>
      </c>
      <c r="C13" s="19" t="s">
        <v>30</v>
      </c>
      <c r="D13" s="19" t="s">
        <v>224</v>
      </c>
      <c r="E13" s="19">
        <v>3.0</v>
      </c>
      <c r="F13" s="19">
        <v>4.0</v>
      </c>
      <c r="G13" s="30"/>
    </row>
    <row r="14">
      <c r="A14" s="21" t="s">
        <v>304</v>
      </c>
      <c r="B14" s="41"/>
      <c r="C14" s="19" t="s">
        <v>306</v>
      </c>
      <c r="D14" s="19" t="s">
        <v>307</v>
      </c>
      <c r="E14" s="19" t="s">
        <v>308</v>
      </c>
      <c r="F14" s="19" t="s">
        <v>309</v>
      </c>
      <c r="G14" s="19" t="s">
        <v>310</v>
      </c>
    </row>
    <row r="15">
      <c r="A15" s="21" t="s">
        <v>311</v>
      </c>
      <c r="B15" s="41"/>
      <c r="C15" s="19" t="s">
        <v>312</v>
      </c>
      <c r="D15" s="19" t="s">
        <v>314</v>
      </c>
      <c r="E15" s="19" t="s">
        <v>315</v>
      </c>
      <c r="F15" s="19" t="s">
        <v>316</v>
      </c>
      <c r="G15" s="19" t="s">
        <v>318</v>
      </c>
    </row>
    <row r="16">
      <c r="A16" s="4" t="s">
        <v>319</v>
      </c>
      <c r="B16" s="41"/>
      <c r="C16" s="19" t="s">
        <v>321</v>
      </c>
      <c r="D16" s="19" t="s">
        <v>322</v>
      </c>
      <c r="E16" s="19" t="s">
        <v>324</v>
      </c>
      <c r="F16" s="19" t="s">
        <v>325</v>
      </c>
      <c r="G16" s="19" t="s">
        <v>326</v>
      </c>
    </row>
    <row r="17">
      <c r="A17" s="21" t="s">
        <v>327</v>
      </c>
      <c r="B17" s="41"/>
      <c r="C17" s="19" t="s">
        <v>328</v>
      </c>
      <c r="D17" s="19" t="s">
        <v>329</v>
      </c>
      <c r="E17" s="19" t="s">
        <v>330</v>
      </c>
      <c r="F17" s="19" t="s">
        <v>324</v>
      </c>
      <c r="G17" s="19" t="s">
        <v>331</v>
      </c>
    </row>
    <row r="18">
      <c r="A18" s="4" t="s">
        <v>332</v>
      </c>
      <c r="B18" s="41"/>
      <c r="C18" s="19" t="s">
        <v>333</v>
      </c>
      <c r="D18" s="19" t="s">
        <v>334</v>
      </c>
      <c r="E18" s="19" t="s">
        <v>335</v>
      </c>
      <c r="F18" s="19" t="s">
        <v>336</v>
      </c>
      <c r="G18" s="19" t="s">
        <v>337</v>
      </c>
    </row>
    <row r="19">
      <c r="A19" s="26" t="s">
        <v>338</v>
      </c>
      <c r="B19" s="41"/>
      <c r="C19" s="19" t="s">
        <v>339</v>
      </c>
      <c r="D19" s="19" t="s">
        <v>340</v>
      </c>
      <c r="E19" s="19" t="s">
        <v>341</v>
      </c>
      <c r="F19" s="19" t="s">
        <v>342</v>
      </c>
      <c r="G19" s="30"/>
    </row>
    <row r="20">
      <c r="A20" s="21" t="s">
        <v>343</v>
      </c>
      <c r="B20" s="41"/>
      <c r="C20" s="41"/>
      <c r="D20" s="19" t="s">
        <v>272</v>
      </c>
      <c r="E20" s="19" t="s">
        <v>36</v>
      </c>
      <c r="F20" s="19">
        <v>1.3</v>
      </c>
      <c r="G20" s="19" t="s">
        <v>281</v>
      </c>
    </row>
    <row r="21">
      <c r="A21" s="35" t="s">
        <v>344</v>
      </c>
      <c r="B21" s="51"/>
      <c r="C21" s="57"/>
      <c r="D21" s="57"/>
      <c r="E21" s="8" t="s">
        <v>345</v>
      </c>
      <c r="F21" s="8" t="s">
        <v>346</v>
      </c>
      <c r="G21" s="8" t="s">
        <v>347</v>
      </c>
    </row>
    <row r="22">
      <c r="A22" s="4" t="s">
        <v>348</v>
      </c>
      <c r="B22" s="51"/>
      <c r="C22" s="57"/>
      <c r="D22" s="57"/>
      <c r="E22" s="93" t="str">
        <f>"+0.003, Max 1.1 (34)"</f>
        <v>+0.003, Max 1.1 (34)</v>
      </c>
      <c r="F22" s="93" t="str">
        <f>"+0.003, Max 1.2 (66)"</f>
        <v>+0.003, Max 1.2 (66)</v>
      </c>
      <c r="G22" s="93" t="str">
        <f>"+0.003, Max 1.3 (100)"</f>
        <v>+0.003, Max 1.3 (100)</v>
      </c>
    </row>
    <row r="23">
      <c r="B23" s="52"/>
    </row>
    <row r="24">
      <c r="B24" s="52"/>
    </row>
    <row r="25">
      <c r="A25" s="61"/>
      <c r="B25" s="52"/>
    </row>
    <row r="26">
      <c r="A26" s="62"/>
      <c r="B26" s="52"/>
    </row>
    <row r="27">
      <c r="A27" s="61"/>
      <c r="B27" s="52"/>
    </row>
    <row r="28">
      <c r="B28" s="52"/>
    </row>
    <row r="29">
      <c r="B29" s="52"/>
    </row>
    <row r="30">
      <c r="B30" s="52"/>
    </row>
    <row r="31">
      <c r="B31" s="52"/>
    </row>
    <row r="32">
      <c r="B32" s="52"/>
    </row>
    <row r="33">
      <c r="B33" s="52"/>
    </row>
    <row r="34">
      <c r="B34" s="52"/>
    </row>
    <row r="35">
      <c r="B35" s="52"/>
    </row>
    <row r="36">
      <c r="B36" s="52"/>
    </row>
    <row r="37">
      <c r="B37" s="52"/>
    </row>
    <row r="38">
      <c r="B38" s="52"/>
    </row>
    <row r="39">
      <c r="B39" s="52"/>
    </row>
    <row r="40">
      <c r="B40" s="52"/>
    </row>
    <row r="41">
      <c r="B41" s="52"/>
    </row>
    <row r="42">
      <c r="B42" s="52"/>
    </row>
    <row r="43">
      <c r="B43" s="52"/>
    </row>
    <row r="44">
      <c r="B44" s="52"/>
    </row>
    <row r="45">
      <c r="B45" s="52"/>
    </row>
    <row r="46">
      <c r="B46" s="52"/>
    </row>
    <row r="47">
      <c r="B47" s="52"/>
    </row>
    <row r="48">
      <c r="B48" s="52"/>
    </row>
    <row r="49">
      <c r="B49" s="52"/>
    </row>
    <row r="50">
      <c r="B50" s="52"/>
    </row>
    <row r="51">
      <c r="B51" s="52"/>
    </row>
    <row r="52">
      <c r="B52" s="52"/>
    </row>
    <row r="53">
      <c r="B53" s="52"/>
    </row>
    <row r="54">
      <c r="B54" s="52"/>
    </row>
    <row r="55">
      <c r="B55" s="52"/>
    </row>
    <row r="56">
      <c r="B56" s="52"/>
    </row>
    <row r="57">
      <c r="B57" s="52"/>
    </row>
    <row r="58">
      <c r="B58" s="52"/>
    </row>
    <row r="59">
      <c r="B59" s="52"/>
    </row>
    <row r="60">
      <c r="B60" s="52"/>
    </row>
    <row r="61">
      <c r="B61" s="52"/>
    </row>
    <row r="62">
      <c r="B62" s="52"/>
    </row>
    <row r="63">
      <c r="B63" s="52"/>
    </row>
    <row r="64">
      <c r="B64" s="52"/>
    </row>
    <row r="65">
      <c r="B65" s="52"/>
    </row>
    <row r="66">
      <c r="B66" s="52"/>
    </row>
    <row r="67">
      <c r="B67" s="52"/>
    </row>
    <row r="68">
      <c r="B68" s="52"/>
    </row>
    <row r="69">
      <c r="B69" s="52"/>
    </row>
    <row r="70">
      <c r="B70" s="52"/>
    </row>
    <row r="71">
      <c r="B71" s="52"/>
    </row>
    <row r="72">
      <c r="B72" s="52"/>
    </row>
    <row r="73">
      <c r="B73" s="52"/>
    </row>
    <row r="74">
      <c r="B74" s="52"/>
    </row>
    <row r="75">
      <c r="B75" s="52"/>
    </row>
    <row r="76">
      <c r="B76" s="52"/>
    </row>
    <row r="77">
      <c r="B77" s="52"/>
    </row>
    <row r="78">
      <c r="B78" s="52"/>
    </row>
    <row r="79">
      <c r="B79" s="52"/>
    </row>
    <row r="80">
      <c r="B80" s="52"/>
    </row>
    <row r="81">
      <c r="B81" s="52"/>
    </row>
    <row r="82">
      <c r="B82" s="52"/>
    </row>
    <row r="83">
      <c r="B83" s="52"/>
    </row>
    <row r="84">
      <c r="B84" s="52"/>
    </row>
    <row r="85">
      <c r="B85" s="52"/>
    </row>
    <row r="86">
      <c r="B86" s="52"/>
    </row>
    <row r="87">
      <c r="B87" s="52"/>
    </row>
    <row r="88">
      <c r="B88" s="52"/>
    </row>
    <row r="89">
      <c r="B89" s="52"/>
    </row>
    <row r="90">
      <c r="B90" s="52"/>
    </row>
    <row r="91">
      <c r="B91" s="52"/>
    </row>
    <row r="92">
      <c r="B92" s="52"/>
    </row>
    <row r="93">
      <c r="B93" s="52"/>
    </row>
    <row r="94">
      <c r="B94" s="52"/>
    </row>
    <row r="95">
      <c r="B95" s="52"/>
    </row>
    <row r="96">
      <c r="B96" s="52"/>
    </row>
    <row r="97">
      <c r="B97" s="52"/>
    </row>
    <row r="98">
      <c r="B98" s="52"/>
    </row>
    <row r="99">
      <c r="B99" s="52"/>
    </row>
    <row r="100">
      <c r="B100" s="52"/>
    </row>
    <row r="101">
      <c r="B101" s="52"/>
    </row>
    <row r="102">
      <c r="B102" s="52"/>
    </row>
    <row r="103">
      <c r="B103" s="52"/>
    </row>
    <row r="104">
      <c r="B104" s="52"/>
    </row>
    <row r="105">
      <c r="B105" s="52"/>
    </row>
    <row r="106">
      <c r="B106" s="52"/>
    </row>
    <row r="107">
      <c r="B107" s="52"/>
    </row>
    <row r="108">
      <c r="B108" s="52"/>
    </row>
    <row r="109">
      <c r="B109" s="52"/>
    </row>
    <row r="110">
      <c r="B110" s="52"/>
    </row>
    <row r="111">
      <c r="B111" s="52"/>
    </row>
    <row r="112">
      <c r="B112" s="52"/>
    </row>
    <row r="113">
      <c r="B113" s="52"/>
    </row>
    <row r="114">
      <c r="B114" s="52"/>
    </row>
    <row r="115">
      <c r="B115" s="52"/>
    </row>
    <row r="116">
      <c r="B116" s="52"/>
    </row>
    <row r="117">
      <c r="B117" s="52"/>
    </row>
    <row r="118">
      <c r="B118" s="52"/>
    </row>
    <row r="119">
      <c r="B119" s="52"/>
    </row>
    <row r="120">
      <c r="B120" s="52"/>
    </row>
    <row r="121">
      <c r="B121" s="52"/>
    </row>
    <row r="122">
      <c r="B122" s="52"/>
    </row>
    <row r="123">
      <c r="B123" s="52"/>
    </row>
    <row r="124">
      <c r="B124" s="52"/>
    </row>
    <row r="125">
      <c r="B125" s="52"/>
    </row>
    <row r="126">
      <c r="B126" s="52"/>
    </row>
    <row r="127">
      <c r="B127" s="52"/>
    </row>
    <row r="128">
      <c r="B128" s="52"/>
    </row>
    <row r="129">
      <c r="B129" s="52"/>
    </row>
    <row r="130">
      <c r="B130" s="52"/>
    </row>
    <row r="131">
      <c r="B131" s="52"/>
    </row>
    <row r="132">
      <c r="B132" s="52"/>
    </row>
    <row r="133">
      <c r="B133" s="52"/>
    </row>
    <row r="134">
      <c r="B134" s="52"/>
    </row>
    <row r="135">
      <c r="B135" s="52"/>
    </row>
    <row r="136">
      <c r="B136" s="52"/>
    </row>
    <row r="137">
      <c r="B137" s="52"/>
    </row>
    <row r="138">
      <c r="B138" s="52"/>
    </row>
    <row r="139">
      <c r="B139" s="52"/>
    </row>
    <row r="140">
      <c r="B140" s="52"/>
    </row>
    <row r="141">
      <c r="B141" s="52"/>
    </row>
    <row r="142">
      <c r="B142" s="52"/>
    </row>
    <row r="143">
      <c r="B143" s="52"/>
    </row>
    <row r="144">
      <c r="B144" s="52"/>
    </row>
    <row r="145">
      <c r="B145" s="52"/>
    </row>
    <row r="146">
      <c r="B146" s="52"/>
    </row>
    <row r="147">
      <c r="B147" s="52"/>
    </row>
    <row r="148">
      <c r="B148" s="52"/>
    </row>
    <row r="149">
      <c r="B149" s="52"/>
    </row>
    <row r="150">
      <c r="B150" s="52"/>
    </row>
    <row r="151">
      <c r="B151" s="52"/>
    </row>
    <row r="152">
      <c r="B152" s="52"/>
    </row>
    <row r="153">
      <c r="B153" s="52"/>
    </row>
    <row r="154">
      <c r="B154" s="52"/>
    </row>
    <row r="155">
      <c r="B155" s="52"/>
    </row>
    <row r="156">
      <c r="B156" s="52"/>
    </row>
    <row r="157">
      <c r="B157" s="52"/>
    </row>
    <row r="158">
      <c r="B158" s="52"/>
    </row>
    <row r="159">
      <c r="B159" s="52"/>
    </row>
    <row r="160">
      <c r="B160" s="52"/>
    </row>
    <row r="161">
      <c r="B161" s="52"/>
    </row>
    <row r="162">
      <c r="B162" s="52"/>
    </row>
    <row r="163">
      <c r="B163" s="52"/>
    </row>
    <row r="164">
      <c r="B164" s="52"/>
    </row>
    <row r="165">
      <c r="B165" s="52"/>
    </row>
    <row r="166">
      <c r="B166" s="52"/>
    </row>
    <row r="167">
      <c r="B167" s="52"/>
    </row>
    <row r="168">
      <c r="B168" s="52"/>
    </row>
    <row r="169">
      <c r="B169" s="52"/>
    </row>
    <row r="170">
      <c r="B170" s="52"/>
    </row>
    <row r="171">
      <c r="B171" s="52"/>
    </row>
    <row r="172">
      <c r="B172" s="52"/>
    </row>
    <row r="173">
      <c r="B173" s="52"/>
    </row>
    <row r="174">
      <c r="B174" s="52"/>
    </row>
    <row r="175">
      <c r="B175" s="52"/>
    </row>
    <row r="176">
      <c r="B176" s="52"/>
    </row>
    <row r="177">
      <c r="B177" s="52"/>
    </row>
    <row r="178">
      <c r="B178" s="52"/>
    </row>
    <row r="179">
      <c r="B179" s="52"/>
    </row>
    <row r="180">
      <c r="B180" s="52"/>
    </row>
    <row r="181">
      <c r="B181" s="52"/>
    </row>
    <row r="182">
      <c r="B182" s="52"/>
    </row>
    <row r="183">
      <c r="B183" s="52"/>
    </row>
    <row r="184">
      <c r="B184" s="52"/>
    </row>
    <row r="185">
      <c r="B185" s="52"/>
    </row>
    <row r="186">
      <c r="B186" s="52"/>
    </row>
    <row r="187">
      <c r="B187" s="52"/>
    </row>
    <row r="188">
      <c r="B188" s="52"/>
    </row>
    <row r="189">
      <c r="B189" s="52"/>
    </row>
    <row r="190">
      <c r="B190" s="52"/>
    </row>
    <row r="191">
      <c r="B191" s="52"/>
    </row>
    <row r="192">
      <c r="B192" s="52"/>
    </row>
    <row r="193">
      <c r="B193" s="52"/>
    </row>
    <row r="194">
      <c r="B194" s="52"/>
    </row>
    <row r="195">
      <c r="B195" s="52"/>
    </row>
    <row r="196">
      <c r="B196" s="52"/>
    </row>
    <row r="197">
      <c r="B197" s="52"/>
    </row>
    <row r="198">
      <c r="B198" s="52"/>
    </row>
    <row r="199">
      <c r="B199" s="52"/>
    </row>
    <row r="200">
      <c r="B200" s="52"/>
    </row>
    <row r="201">
      <c r="B201" s="52"/>
    </row>
    <row r="202">
      <c r="B202" s="52"/>
    </row>
    <row r="203">
      <c r="B203" s="52"/>
    </row>
    <row r="204">
      <c r="B204" s="52"/>
    </row>
    <row r="205">
      <c r="B205" s="52"/>
    </row>
    <row r="206">
      <c r="B206" s="52"/>
    </row>
    <row r="207">
      <c r="B207" s="52"/>
    </row>
    <row r="208">
      <c r="B208" s="52"/>
    </row>
    <row r="209">
      <c r="B209" s="52"/>
    </row>
    <row r="210">
      <c r="B210" s="52"/>
    </row>
    <row r="211">
      <c r="B211" s="52"/>
    </row>
    <row r="212">
      <c r="B212" s="52"/>
    </row>
    <row r="213">
      <c r="B213" s="52"/>
    </row>
    <row r="214">
      <c r="B214" s="52"/>
    </row>
    <row r="215">
      <c r="B215" s="52"/>
    </row>
    <row r="216">
      <c r="B216" s="52"/>
    </row>
    <row r="217">
      <c r="B217" s="52"/>
    </row>
    <row r="218">
      <c r="B218" s="52"/>
    </row>
    <row r="219">
      <c r="B219" s="52"/>
    </row>
    <row r="220">
      <c r="B220" s="52"/>
    </row>
    <row r="221">
      <c r="B221" s="52"/>
    </row>
    <row r="222">
      <c r="B222" s="52"/>
    </row>
    <row r="223">
      <c r="B223" s="52"/>
    </row>
    <row r="224">
      <c r="B224" s="52"/>
    </row>
    <row r="225">
      <c r="B225" s="52"/>
    </row>
    <row r="226">
      <c r="B226" s="52"/>
    </row>
    <row r="227">
      <c r="B227" s="52"/>
    </row>
    <row r="228">
      <c r="B228" s="52"/>
    </row>
    <row r="229">
      <c r="B229" s="52"/>
    </row>
    <row r="230">
      <c r="B230" s="52"/>
    </row>
    <row r="231">
      <c r="B231" s="52"/>
    </row>
    <row r="232">
      <c r="B232" s="52"/>
    </row>
    <row r="233">
      <c r="B233" s="52"/>
    </row>
    <row r="234">
      <c r="B234" s="52"/>
    </row>
    <row r="235">
      <c r="B235" s="52"/>
    </row>
    <row r="236">
      <c r="B236" s="52"/>
    </row>
    <row r="237">
      <c r="B237" s="52"/>
    </row>
    <row r="238">
      <c r="B238" s="52"/>
    </row>
    <row r="239">
      <c r="B239" s="52"/>
    </row>
    <row r="240">
      <c r="B240" s="52"/>
    </row>
    <row r="241">
      <c r="B241" s="52"/>
    </row>
    <row r="242">
      <c r="B242" s="52"/>
    </row>
    <row r="243">
      <c r="B243" s="52"/>
    </row>
    <row r="244">
      <c r="B244" s="52"/>
    </row>
    <row r="245">
      <c r="B245" s="52"/>
    </row>
    <row r="246">
      <c r="B246" s="52"/>
    </row>
    <row r="247">
      <c r="B247" s="52"/>
    </row>
    <row r="248">
      <c r="B248" s="52"/>
    </row>
    <row r="249">
      <c r="B249" s="52"/>
    </row>
    <row r="250">
      <c r="B250" s="52"/>
    </row>
    <row r="251">
      <c r="B251" s="52"/>
    </row>
    <row r="252">
      <c r="B252" s="52"/>
    </row>
    <row r="253">
      <c r="B253" s="52"/>
    </row>
    <row r="254">
      <c r="B254" s="52"/>
    </row>
    <row r="255">
      <c r="B255" s="52"/>
    </row>
    <row r="256">
      <c r="B256" s="52"/>
    </row>
    <row r="257">
      <c r="B257" s="52"/>
    </row>
    <row r="258">
      <c r="B258" s="52"/>
    </row>
    <row r="259">
      <c r="B259" s="52"/>
    </row>
    <row r="260">
      <c r="B260" s="52"/>
    </row>
    <row r="261">
      <c r="B261" s="52"/>
    </row>
    <row r="262">
      <c r="B262" s="52"/>
    </row>
    <row r="263">
      <c r="B263" s="52"/>
    </row>
    <row r="264">
      <c r="B264" s="52"/>
    </row>
    <row r="265">
      <c r="B265" s="52"/>
    </row>
    <row r="266">
      <c r="B266" s="52"/>
    </row>
    <row r="267">
      <c r="B267" s="52"/>
    </row>
    <row r="268">
      <c r="B268" s="52"/>
    </row>
    <row r="269">
      <c r="B269" s="52"/>
    </row>
    <row r="270">
      <c r="B270" s="52"/>
    </row>
    <row r="271">
      <c r="B271" s="52"/>
    </row>
    <row r="272">
      <c r="B272" s="52"/>
    </row>
    <row r="273">
      <c r="B273" s="52"/>
    </row>
    <row r="274">
      <c r="B274" s="52"/>
    </row>
    <row r="275">
      <c r="B275" s="52"/>
    </row>
    <row r="276">
      <c r="B276" s="52"/>
    </row>
    <row r="277">
      <c r="B277" s="52"/>
    </row>
    <row r="278">
      <c r="B278" s="52"/>
    </row>
    <row r="279">
      <c r="B279" s="52"/>
    </row>
    <row r="280">
      <c r="B280" s="52"/>
    </row>
    <row r="281">
      <c r="B281" s="52"/>
    </row>
    <row r="282">
      <c r="B282" s="52"/>
    </row>
    <row r="283">
      <c r="B283" s="52"/>
    </row>
    <row r="284">
      <c r="B284" s="52"/>
    </row>
    <row r="285">
      <c r="B285" s="52"/>
    </row>
    <row r="286">
      <c r="B286" s="52"/>
    </row>
    <row r="287">
      <c r="B287" s="52"/>
    </row>
    <row r="288">
      <c r="B288" s="52"/>
    </row>
    <row r="289">
      <c r="B289" s="52"/>
    </row>
    <row r="290">
      <c r="B290" s="52"/>
    </row>
    <row r="291">
      <c r="B291" s="52"/>
    </row>
    <row r="292">
      <c r="B292" s="52"/>
    </row>
    <row r="293">
      <c r="B293" s="52"/>
    </row>
    <row r="294">
      <c r="B294" s="52"/>
    </row>
    <row r="295">
      <c r="B295" s="52"/>
    </row>
    <row r="296">
      <c r="B296" s="52"/>
    </row>
    <row r="297">
      <c r="B297" s="52"/>
    </row>
    <row r="298">
      <c r="B298" s="52"/>
    </row>
    <row r="299">
      <c r="B299" s="52"/>
    </row>
    <row r="300">
      <c r="B300" s="52"/>
    </row>
    <row r="301">
      <c r="B301" s="52"/>
    </row>
    <row r="302">
      <c r="B302" s="52"/>
    </row>
    <row r="303">
      <c r="B303" s="52"/>
    </row>
    <row r="304">
      <c r="B304" s="52"/>
    </row>
    <row r="305">
      <c r="B305" s="52"/>
    </row>
    <row r="306">
      <c r="B306" s="52"/>
    </row>
    <row r="307">
      <c r="B307" s="52"/>
    </row>
    <row r="308">
      <c r="B308" s="52"/>
    </row>
    <row r="309">
      <c r="B309" s="52"/>
    </row>
    <row r="310">
      <c r="B310" s="52"/>
    </row>
    <row r="311">
      <c r="B311" s="52"/>
    </row>
    <row r="312">
      <c r="B312" s="52"/>
    </row>
    <row r="313">
      <c r="B313" s="52"/>
    </row>
    <row r="314">
      <c r="B314" s="52"/>
    </row>
    <row r="315">
      <c r="B315" s="52"/>
    </row>
    <row r="316">
      <c r="B316" s="52"/>
    </row>
    <row r="317">
      <c r="B317" s="52"/>
    </row>
    <row r="318">
      <c r="B318" s="52"/>
    </row>
    <row r="319">
      <c r="B319" s="52"/>
    </row>
    <row r="320">
      <c r="B320" s="52"/>
    </row>
    <row r="321">
      <c r="B321" s="52"/>
    </row>
    <row r="322">
      <c r="B322" s="52"/>
    </row>
    <row r="323">
      <c r="B323" s="52"/>
    </row>
    <row r="324">
      <c r="B324" s="52"/>
    </row>
    <row r="325">
      <c r="B325" s="52"/>
    </row>
    <row r="326">
      <c r="B326" s="52"/>
    </row>
    <row r="327">
      <c r="B327" s="52"/>
    </row>
    <row r="328">
      <c r="B328" s="52"/>
    </row>
    <row r="329">
      <c r="B329" s="52"/>
    </row>
    <row r="330">
      <c r="B330" s="52"/>
    </row>
    <row r="331">
      <c r="B331" s="52"/>
    </row>
    <row r="332">
      <c r="B332" s="52"/>
    </row>
    <row r="333">
      <c r="B333" s="52"/>
    </row>
    <row r="334">
      <c r="B334" s="52"/>
    </row>
    <row r="335">
      <c r="B335" s="52"/>
    </row>
    <row r="336">
      <c r="B336" s="52"/>
    </row>
    <row r="337">
      <c r="B337" s="52"/>
    </row>
    <row r="338">
      <c r="B338" s="52"/>
    </row>
    <row r="339">
      <c r="B339" s="52"/>
    </row>
    <row r="340">
      <c r="B340" s="52"/>
    </row>
    <row r="341">
      <c r="B341" s="52"/>
    </row>
    <row r="342">
      <c r="B342" s="52"/>
    </row>
    <row r="343">
      <c r="B343" s="52"/>
    </row>
    <row r="344">
      <c r="B344" s="52"/>
    </row>
    <row r="345">
      <c r="B345" s="52"/>
    </row>
    <row r="346">
      <c r="B346" s="52"/>
    </row>
    <row r="347">
      <c r="B347" s="52"/>
    </row>
    <row r="348">
      <c r="B348" s="52"/>
    </row>
    <row r="349">
      <c r="B349" s="52"/>
    </row>
    <row r="350">
      <c r="B350" s="52"/>
    </row>
    <row r="351">
      <c r="B351" s="52"/>
    </row>
    <row r="352">
      <c r="B352" s="52"/>
    </row>
    <row r="353">
      <c r="B353" s="52"/>
    </row>
    <row r="354">
      <c r="B354" s="52"/>
    </row>
    <row r="355">
      <c r="B355" s="52"/>
    </row>
    <row r="356">
      <c r="B356" s="52"/>
    </row>
    <row r="357">
      <c r="B357" s="52"/>
    </row>
    <row r="358">
      <c r="B358" s="52"/>
    </row>
    <row r="359">
      <c r="B359" s="52"/>
    </row>
    <row r="360">
      <c r="B360" s="52"/>
    </row>
    <row r="361">
      <c r="B361" s="52"/>
    </row>
    <row r="362">
      <c r="B362" s="52"/>
    </row>
    <row r="363">
      <c r="B363" s="52"/>
    </row>
    <row r="364">
      <c r="B364" s="52"/>
    </row>
    <row r="365">
      <c r="B365" s="52"/>
    </row>
    <row r="366">
      <c r="B366" s="52"/>
    </row>
    <row r="367">
      <c r="B367" s="52"/>
    </row>
    <row r="368">
      <c r="B368" s="52"/>
    </row>
    <row r="369">
      <c r="B369" s="52"/>
    </row>
    <row r="370">
      <c r="B370" s="52"/>
    </row>
    <row r="371">
      <c r="B371" s="52"/>
    </row>
    <row r="372">
      <c r="B372" s="52"/>
    </row>
    <row r="373">
      <c r="B373" s="52"/>
    </row>
    <row r="374">
      <c r="B374" s="52"/>
    </row>
    <row r="375">
      <c r="B375" s="52"/>
    </row>
    <row r="376">
      <c r="B376" s="52"/>
    </row>
    <row r="377">
      <c r="B377" s="52"/>
    </row>
    <row r="378">
      <c r="B378" s="52"/>
    </row>
    <row r="379">
      <c r="B379" s="52"/>
    </row>
    <row r="380">
      <c r="B380" s="52"/>
    </row>
    <row r="381">
      <c r="B381" s="52"/>
    </row>
    <row r="382">
      <c r="B382" s="52"/>
    </row>
    <row r="383">
      <c r="B383" s="52"/>
    </row>
    <row r="384">
      <c r="B384" s="52"/>
    </row>
    <row r="385">
      <c r="B385" s="52"/>
    </row>
    <row r="386">
      <c r="B386" s="52"/>
    </row>
    <row r="387">
      <c r="B387" s="52"/>
    </row>
    <row r="388">
      <c r="B388" s="52"/>
    </row>
    <row r="389">
      <c r="B389" s="52"/>
    </row>
    <row r="390">
      <c r="B390" s="52"/>
    </row>
    <row r="391">
      <c r="B391" s="52"/>
    </row>
    <row r="392">
      <c r="B392" s="52"/>
    </row>
    <row r="393">
      <c r="B393" s="52"/>
    </row>
    <row r="394">
      <c r="B394" s="52"/>
    </row>
    <row r="395">
      <c r="B395" s="52"/>
    </row>
    <row r="396">
      <c r="B396" s="52"/>
    </row>
    <row r="397">
      <c r="B397" s="52"/>
    </row>
    <row r="398">
      <c r="B398" s="52"/>
    </row>
    <row r="399">
      <c r="B399" s="52"/>
    </row>
    <row r="400">
      <c r="B400" s="52"/>
    </row>
    <row r="401">
      <c r="B401" s="52"/>
    </row>
    <row r="402">
      <c r="B402" s="52"/>
    </row>
    <row r="403">
      <c r="B403" s="52"/>
    </row>
    <row r="404">
      <c r="B404" s="52"/>
    </row>
    <row r="405">
      <c r="B405" s="52"/>
    </row>
    <row r="406">
      <c r="B406" s="52"/>
    </row>
    <row r="407">
      <c r="B407" s="52"/>
    </row>
    <row r="408">
      <c r="B408" s="52"/>
    </row>
    <row r="409">
      <c r="B409" s="52"/>
    </row>
    <row r="410">
      <c r="B410" s="52"/>
    </row>
    <row r="411">
      <c r="B411" s="52"/>
    </row>
    <row r="412">
      <c r="B412" s="52"/>
    </row>
    <row r="413">
      <c r="B413" s="52"/>
    </row>
    <row r="414">
      <c r="B414" s="52"/>
    </row>
    <row r="415">
      <c r="B415" s="52"/>
    </row>
    <row r="416">
      <c r="B416" s="52"/>
    </row>
    <row r="417">
      <c r="B417" s="52"/>
    </row>
    <row r="418">
      <c r="B418" s="52"/>
    </row>
    <row r="419">
      <c r="B419" s="52"/>
    </row>
    <row r="420">
      <c r="B420" s="52"/>
    </row>
    <row r="421">
      <c r="B421" s="52"/>
    </row>
    <row r="422">
      <c r="B422" s="52"/>
    </row>
    <row r="423">
      <c r="B423" s="52"/>
    </row>
    <row r="424">
      <c r="B424" s="52"/>
    </row>
    <row r="425">
      <c r="B425" s="52"/>
    </row>
    <row r="426">
      <c r="B426" s="52"/>
    </row>
    <row r="427">
      <c r="B427" s="52"/>
    </row>
    <row r="428">
      <c r="B428" s="52"/>
    </row>
    <row r="429">
      <c r="B429" s="52"/>
    </row>
    <row r="430">
      <c r="B430" s="52"/>
    </row>
    <row r="431">
      <c r="B431" s="52"/>
    </row>
    <row r="432">
      <c r="B432" s="52"/>
    </row>
    <row r="433">
      <c r="B433" s="52"/>
    </row>
    <row r="434">
      <c r="B434" s="52"/>
    </row>
    <row r="435">
      <c r="B435" s="52"/>
    </row>
    <row r="436">
      <c r="B436" s="52"/>
    </row>
    <row r="437">
      <c r="B437" s="52"/>
    </row>
    <row r="438">
      <c r="B438" s="52"/>
    </row>
    <row r="439">
      <c r="B439" s="52"/>
    </row>
    <row r="440">
      <c r="B440" s="52"/>
    </row>
    <row r="441">
      <c r="B441" s="52"/>
    </row>
    <row r="442">
      <c r="B442" s="52"/>
    </row>
    <row r="443">
      <c r="B443" s="52"/>
    </row>
    <row r="444">
      <c r="B444" s="52"/>
    </row>
    <row r="445">
      <c r="B445" s="52"/>
    </row>
    <row r="446">
      <c r="B446" s="52"/>
    </row>
    <row r="447">
      <c r="B447" s="52"/>
    </row>
    <row r="448">
      <c r="B448" s="52"/>
    </row>
    <row r="449">
      <c r="B449" s="52"/>
    </row>
    <row r="450">
      <c r="B450" s="52"/>
    </row>
    <row r="451">
      <c r="B451" s="52"/>
    </row>
    <row r="452">
      <c r="B452" s="52"/>
    </row>
    <row r="453">
      <c r="B453" s="52"/>
    </row>
    <row r="454">
      <c r="B454" s="52"/>
    </row>
    <row r="455">
      <c r="B455" s="52"/>
    </row>
    <row r="456">
      <c r="B456" s="52"/>
    </row>
    <row r="457">
      <c r="B457" s="52"/>
    </row>
    <row r="458">
      <c r="B458" s="52"/>
    </row>
    <row r="459">
      <c r="B459" s="52"/>
    </row>
    <row r="460">
      <c r="B460" s="52"/>
    </row>
    <row r="461">
      <c r="B461" s="52"/>
    </row>
    <row r="462">
      <c r="B462" s="52"/>
    </row>
    <row r="463">
      <c r="B463" s="52"/>
    </row>
    <row r="464">
      <c r="B464" s="52"/>
    </row>
    <row r="465">
      <c r="B465" s="52"/>
    </row>
    <row r="466">
      <c r="B466" s="52"/>
    </row>
    <row r="467">
      <c r="B467" s="52"/>
    </row>
    <row r="468">
      <c r="B468" s="52"/>
    </row>
    <row r="469">
      <c r="B469" s="52"/>
    </row>
    <row r="470">
      <c r="B470" s="52"/>
    </row>
    <row r="471">
      <c r="B471" s="52"/>
    </row>
    <row r="472">
      <c r="B472" s="52"/>
    </row>
    <row r="473">
      <c r="B473" s="52"/>
    </row>
    <row r="474">
      <c r="B474" s="52"/>
    </row>
    <row r="475">
      <c r="B475" s="52"/>
    </row>
    <row r="476">
      <c r="B476" s="52"/>
    </row>
    <row r="477">
      <c r="B477" s="52"/>
    </row>
    <row r="478">
      <c r="B478" s="52"/>
    </row>
    <row r="479">
      <c r="B479" s="52"/>
    </row>
    <row r="480">
      <c r="B480" s="52"/>
    </row>
    <row r="481">
      <c r="B481" s="52"/>
    </row>
    <row r="482">
      <c r="B482" s="52"/>
    </row>
    <row r="483">
      <c r="B483" s="52"/>
    </row>
    <row r="484">
      <c r="B484" s="52"/>
    </row>
    <row r="485">
      <c r="B485" s="52"/>
    </row>
    <row r="486">
      <c r="B486" s="52"/>
    </row>
    <row r="487">
      <c r="B487" s="52"/>
    </row>
    <row r="488">
      <c r="B488" s="52"/>
    </row>
    <row r="489">
      <c r="B489" s="52"/>
    </row>
    <row r="490">
      <c r="B490" s="52"/>
    </row>
    <row r="491">
      <c r="B491" s="52"/>
    </row>
    <row r="492">
      <c r="B492" s="52"/>
    </row>
    <row r="493">
      <c r="B493" s="52"/>
    </row>
    <row r="494">
      <c r="B494" s="52"/>
    </row>
    <row r="495">
      <c r="B495" s="52"/>
    </row>
    <row r="496">
      <c r="B496" s="52"/>
    </row>
    <row r="497">
      <c r="B497" s="52"/>
    </row>
    <row r="498">
      <c r="B498" s="52"/>
    </row>
    <row r="499">
      <c r="B499" s="52"/>
    </row>
    <row r="500">
      <c r="B500" s="52"/>
    </row>
    <row r="501">
      <c r="B501" s="52"/>
    </row>
    <row r="502">
      <c r="B502" s="52"/>
    </row>
    <row r="503">
      <c r="B503" s="52"/>
    </row>
    <row r="504">
      <c r="B504" s="52"/>
    </row>
    <row r="505">
      <c r="B505" s="52"/>
    </row>
    <row r="506">
      <c r="B506" s="52"/>
    </row>
    <row r="507">
      <c r="B507" s="52"/>
    </row>
    <row r="508">
      <c r="B508" s="52"/>
    </row>
    <row r="509">
      <c r="B509" s="52"/>
    </row>
    <row r="510">
      <c r="B510" s="52"/>
    </row>
    <row r="511">
      <c r="B511" s="52"/>
    </row>
    <row r="512">
      <c r="B512" s="52"/>
    </row>
    <row r="513">
      <c r="B513" s="52"/>
    </row>
    <row r="514">
      <c r="B514" s="52"/>
    </row>
    <row r="515">
      <c r="B515" s="52"/>
    </row>
    <row r="516">
      <c r="B516" s="52"/>
    </row>
    <row r="517">
      <c r="B517" s="52"/>
    </row>
    <row r="518">
      <c r="B518" s="52"/>
    </row>
    <row r="519">
      <c r="B519" s="52"/>
    </row>
    <row r="520">
      <c r="B520" s="52"/>
    </row>
    <row r="521">
      <c r="B521" s="52"/>
    </row>
    <row r="522">
      <c r="B522" s="52"/>
    </row>
    <row r="523">
      <c r="B523" s="52"/>
    </row>
    <row r="524">
      <c r="B524" s="52"/>
    </row>
    <row r="525">
      <c r="B525" s="52"/>
    </row>
    <row r="526">
      <c r="B526" s="52"/>
    </row>
    <row r="527">
      <c r="B527" s="52"/>
    </row>
    <row r="528">
      <c r="B528" s="52"/>
    </row>
    <row r="529">
      <c r="B529" s="52"/>
    </row>
    <row r="530">
      <c r="B530" s="52"/>
    </row>
    <row r="531">
      <c r="B531" s="52"/>
    </row>
    <row r="532">
      <c r="B532" s="52"/>
    </row>
    <row r="533">
      <c r="B533" s="52"/>
    </row>
    <row r="534">
      <c r="B534" s="52"/>
    </row>
    <row r="535">
      <c r="B535" s="52"/>
    </row>
    <row r="536">
      <c r="B536" s="52"/>
    </row>
    <row r="537">
      <c r="B537" s="52"/>
    </row>
    <row r="538">
      <c r="B538" s="52"/>
    </row>
    <row r="539">
      <c r="B539" s="52"/>
    </row>
    <row r="540">
      <c r="B540" s="52"/>
    </row>
    <row r="541">
      <c r="B541" s="52"/>
    </row>
    <row r="542">
      <c r="B542" s="52"/>
    </row>
    <row r="543">
      <c r="B543" s="52"/>
    </row>
    <row r="544">
      <c r="B544" s="52"/>
    </row>
    <row r="545">
      <c r="B545" s="52"/>
    </row>
    <row r="546">
      <c r="B546" s="52"/>
    </row>
    <row r="547">
      <c r="B547" s="52"/>
    </row>
    <row r="548">
      <c r="B548" s="52"/>
    </row>
    <row r="549">
      <c r="B549" s="52"/>
    </row>
    <row r="550">
      <c r="B550" s="52"/>
    </row>
    <row r="551">
      <c r="B551" s="52"/>
    </row>
    <row r="552">
      <c r="B552" s="52"/>
    </row>
    <row r="553">
      <c r="B553" s="52"/>
    </row>
    <row r="554">
      <c r="B554" s="52"/>
    </row>
    <row r="555">
      <c r="B555" s="52"/>
    </row>
    <row r="556">
      <c r="B556" s="52"/>
    </row>
    <row r="557">
      <c r="B557" s="52"/>
    </row>
    <row r="558">
      <c r="B558" s="52"/>
    </row>
    <row r="559">
      <c r="B559" s="52"/>
    </row>
    <row r="560">
      <c r="B560" s="52"/>
    </row>
    <row r="561">
      <c r="B561" s="52"/>
    </row>
    <row r="562">
      <c r="B562" s="52"/>
    </row>
    <row r="563">
      <c r="B563" s="52"/>
    </row>
    <row r="564">
      <c r="B564" s="52"/>
    </row>
    <row r="565">
      <c r="B565" s="52"/>
    </row>
    <row r="566">
      <c r="B566" s="52"/>
    </row>
    <row r="567">
      <c r="B567" s="52"/>
    </row>
    <row r="568">
      <c r="B568" s="52"/>
    </row>
    <row r="569">
      <c r="B569" s="52"/>
    </row>
    <row r="570">
      <c r="B570" s="52"/>
    </row>
    <row r="571">
      <c r="B571" s="52"/>
    </row>
    <row r="572">
      <c r="B572" s="52"/>
    </row>
    <row r="573">
      <c r="B573" s="52"/>
    </row>
    <row r="574">
      <c r="B574" s="52"/>
    </row>
    <row r="575">
      <c r="B575" s="52"/>
    </row>
    <row r="576">
      <c r="B576" s="52"/>
    </row>
    <row r="577">
      <c r="B577" s="52"/>
    </row>
    <row r="578">
      <c r="B578" s="52"/>
    </row>
    <row r="579">
      <c r="B579" s="52"/>
    </row>
    <row r="580">
      <c r="B580" s="52"/>
    </row>
    <row r="581">
      <c r="B581" s="52"/>
    </row>
    <row r="582">
      <c r="B582" s="52"/>
    </row>
    <row r="583">
      <c r="B583" s="52"/>
    </row>
    <row r="584">
      <c r="B584" s="52"/>
    </row>
    <row r="585">
      <c r="B585" s="52"/>
    </row>
    <row r="586">
      <c r="B586" s="52"/>
    </row>
    <row r="587">
      <c r="B587" s="52"/>
    </row>
    <row r="588">
      <c r="B588" s="52"/>
    </row>
    <row r="589">
      <c r="B589" s="52"/>
    </row>
    <row r="590">
      <c r="B590" s="52"/>
    </row>
    <row r="591">
      <c r="B591" s="52"/>
    </row>
    <row r="592">
      <c r="B592" s="52"/>
    </row>
    <row r="593">
      <c r="B593" s="52"/>
    </row>
    <row r="594">
      <c r="B594" s="52"/>
    </row>
    <row r="595">
      <c r="B595" s="52"/>
    </row>
    <row r="596">
      <c r="B596" s="52"/>
    </row>
    <row r="597">
      <c r="B597" s="52"/>
    </row>
    <row r="598">
      <c r="B598" s="52"/>
    </row>
    <row r="599">
      <c r="B599" s="52"/>
    </row>
    <row r="600">
      <c r="B600" s="52"/>
    </row>
    <row r="601">
      <c r="B601" s="52"/>
    </row>
    <row r="602">
      <c r="B602" s="52"/>
    </row>
    <row r="603">
      <c r="B603" s="52"/>
    </row>
    <row r="604">
      <c r="B604" s="52"/>
    </row>
    <row r="605">
      <c r="B605" s="52"/>
    </row>
    <row r="606">
      <c r="B606" s="52"/>
    </row>
    <row r="607">
      <c r="B607" s="52"/>
    </row>
    <row r="608">
      <c r="B608" s="52"/>
    </row>
    <row r="609">
      <c r="B609" s="52"/>
    </row>
    <row r="610">
      <c r="B610" s="52"/>
    </row>
    <row r="611">
      <c r="B611" s="52"/>
    </row>
    <row r="612">
      <c r="B612" s="52"/>
    </row>
    <row r="613">
      <c r="B613" s="52"/>
    </row>
    <row r="614">
      <c r="B614" s="52"/>
    </row>
    <row r="615">
      <c r="B615" s="52"/>
    </row>
    <row r="616">
      <c r="B616" s="52"/>
    </row>
    <row r="617">
      <c r="B617" s="52"/>
    </row>
    <row r="618">
      <c r="B618" s="52"/>
    </row>
    <row r="619">
      <c r="B619" s="52"/>
    </row>
    <row r="620">
      <c r="B620" s="52"/>
    </row>
    <row r="621">
      <c r="B621" s="52"/>
    </row>
    <row r="622">
      <c r="B622" s="52"/>
    </row>
    <row r="623">
      <c r="B623" s="52"/>
    </row>
    <row r="624">
      <c r="B624" s="52"/>
    </row>
    <row r="625">
      <c r="B625" s="52"/>
    </row>
    <row r="626">
      <c r="B626" s="52"/>
    </row>
    <row r="627">
      <c r="B627" s="52"/>
    </row>
    <row r="628">
      <c r="B628" s="52"/>
    </row>
    <row r="629">
      <c r="B629" s="52"/>
    </row>
    <row r="630">
      <c r="B630" s="52"/>
    </row>
    <row r="631">
      <c r="B631" s="52"/>
    </row>
    <row r="632">
      <c r="B632" s="52"/>
    </row>
    <row r="633">
      <c r="B633" s="52"/>
    </row>
    <row r="634">
      <c r="B634" s="52"/>
    </row>
    <row r="635">
      <c r="B635" s="52"/>
    </row>
    <row r="636">
      <c r="B636" s="52"/>
    </row>
    <row r="637">
      <c r="B637" s="52"/>
    </row>
    <row r="638">
      <c r="B638" s="52"/>
    </row>
    <row r="639">
      <c r="B639" s="52"/>
    </row>
    <row r="640">
      <c r="B640" s="52"/>
    </row>
    <row r="641">
      <c r="B641" s="52"/>
    </row>
    <row r="642">
      <c r="B642" s="52"/>
    </row>
    <row r="643">
      <c r="B643" s="52"/>
    </row>
    <row r="644">
      <c r="B644" s="52"/>
    </row>
    <row r="645">
      <c r="B645" s="52"/>
    </row>
    <row r="646">
      <c r="B646" s="52"/>
    </row>
    <row r="647">
      <c r="B647" s="52"/>
    </row>
    <row r="648">
      <c r="B648" s="52"/>
    </row>
    <row r="649">
      <c r="B649" s="52"/>
    </row>
    <row r="650">
      <c r="B650" s="52"/>
    </row>
    <row r="651">
      <c r="B651" s="52"/>
    </row>
    <row r="652">
      <c r="B652" s="52"/>
    </row>
    <row r="653">
      <c r="B653" s="52"/>
    </row>
    <row r="654">
      <c r="B654" s="52"/>
    </row>
    <row r="655">
      <c r="B655" s="52"/>
    </row>
    <row r="656">
      <c r="B656" s="52"/>
    </row>
    <row r="657">
      <c r="B657" s="52"/>
    </row>
    <row r="658">
      <c r="B658" s="52"/>
    </row>
    <row r="659">
      <c r="B659" s="52"/>
    </row>
    <row r="660">
      <c r="B660" s="52"/>
    </row>
    <row r="661">
      <c r="B661" s="52"/>
    </row>
    <row r="662">
      <c r="B662" s="52"/>
    </row>
    <row r="663">
      <c r="B663" s="52"/>
    </row>
    <row r="664">
      <c r="B664" s="52"/>
    </row>
    <row r="665">
      <c r="B665" s="52"/>
    </row>
    <row r="666">
      <c r="B666" s="52"/>
    </row>
    <row r="667">
      <c r="B667" s="52"/>
    </row>
    <row r="668">
      <c r="B668" s="52"/>
    </row>
    <row r="669">
      <c r="B669" s="52"/>
    </row>
    <row r="670">
      <c r="B670" s="52"/>
    </row>
    <row r="671">
      <c r="B671" s="52"/>
    </row>
    <row r="672">
      <c r="B672" s="52"/>
    </row>
    <row r="673">
      <c r="B673" s="52"/>
    </row>
    <row r="674">
      <c r="B674" s="52"/>
    </row>
    <row r="675">
      <c r="B675" s="52"/>
    </row>
    <row r="676">
      <c r="B676" s="52"/>
    </row>
    <row r="677">
      <c r="B677" s="52"/>
    </row>
    <row r="678">
      <c r="B678" s="52"/>
    </row>
    <row r="679">
      <c r="B679" s="52"/>
    </row>
    <row r="680">
      <c r="B680" s="52"/>
    </row>
    <row r="681">
      <c r="B681" s="52"/>
    </row>
    <row r="682">
      <c r="B682" s="52"/>
    </row>
    <row r="683">
      <c r="B683" s="52"/>
    </row>
    <row r="684">
      <c r="B684" s="52"/>
    </row>
    <row r="685">
      <c r="B685" s="52"/>
    </row>
    <row r="686">
      <c r="B686" s="52"/>
    </row>
    <row r="687">
      <c r="B687" s="52"/>
    </row>
    <row r="688">
      <c r="B688" s="52"/>
    </row>
    <row r="689">
      <c r="B689" s="52"/>
    </row>
    <row r="690">
      <c r="B690" s="52"/>
    </row>
    <row r="691">
      <c r="B691" s="52"/>
    </row>
    <row r="692">
      <c r="B692" s="52"/>
    </row>
    <row r="693">
      <c r="B693" s="52"/>
    </row>
    <row r="694">
      <c r="B694" s="52"/>
    </row>
    <row r="695">
      <c r="B695" s="52"/>
    </row>
    <row r="696">
      <c r="B696" s="52"/>
    </row>
    <row r="697">
      <c r="B697" s="52"/>
    </row>
    <row r="698">
      <c r="B698" s="52"/>
    </row>
    <row r="699">
      <c r="B699" s="52"/>
    </row>
    <row r="700">
      <c r="B700" s="52"/>
    </row>
    <row r="701">
      <c r="B701" s="52"/>
    </row>
    <row r="702">
      <c r="B702" s="52"/>
    </row>
    <row r="703">
      <c r="B703" s="52"/>
    </row>
    <row r="704">
      <c r="B704" s="52"/>
    </row>
    <row r="705">
      <c r="B705" s="52"/>
    </row>
    <row r="706">
      <c r="B706" s="52"/>
    </row>
    <row r="707">
      <c r="B707" s="52"/>
    </row>
    <row r="708">
      <c r="B708" s="52"/>
    </row>
    <row r="709">
      <c r="B709" s="52"/>
    </row>
    <row r="710">
      <c r="B710" s="52"/>
    </row>
    <row r="711">
      <c r="B711" s="52"/>
    </row>
    <row r="712">
      <c r="B712" s="52"/>
    </row>
    <row r="713">
      <c r="B713" s="52"/>
    </row>
    <row r="714">
      <c r="B714" s="52"/>
    </row>
    <row r="715">
      <c r="B715" s="52"/>
    </row>
    <row r="716">
      <c r="B716" s="52"/>
    </row>
    <row r="717">
      <c r="B717" s="52"/>
    </row>
    <row r="718">
      <c r="B718" s="52"/>
    </row>
    <row r="719">
      <c r="B719" s="52"/>
    </row>
    <row r="720">
      <c r="B720" s="52"/>
    </row>
    <row r="721">
      <c r="B721" s="52"/>
    </row>
    <row r="722">
      <c r="B722" s="52"/>
    </row>
    <row r="723">
      <c r="B723" s="52"/>
    </row>
    <row r="724">
      <c r="B724" s="52"/>
    </row>
    <row r="725">
      <c r="B725" s="52"/>
    </row>
    <row r="726">
      <c r="B726" s="52"/>
    </row>
    <row r="727">
      <c r="B727" s="52"/>
    </row>
    <row r="728">
      <c r="B728" s="52"/>
    </row>
    <row r="729">
      <c r="B729" s="52"/>
    </row>
    <row r="730">
      <c r="B730" s="52"/>
    </row>
    <row r="731">
      <c r="B731" s="52"/>
    </row>
    <row r="732">
      <c r="B732" s="52"/>
    </row>
    <row r="733">
      <c r="B733" s="52"/>
    </row>
    <row r="734">
      <c r="B734" s="52"/>
    </row>
    <row r="735">
      <c r="B735" s="52"/>
    </row>
    <row r="736">
      <c r="B736" s="52"/>
    </row>
    <row r="737">
      <c r="B737" s="52"/>
    </row>
    <row r="738">
      <c r="B738" s="52"/>
    </row>
    <row r="739">
      <c r="B739" s="52"/>
    </row>
    <row r="740">
      <c r="B740" s="52"/>
    </row>
    <row r="741">
      <c r="B741" s="52"/>
    </row>
    <row r="742">
      <c r="B742" s="52"/>
    </row>
    <row r="743">
      <c r="B743" s="52"/>
    </row>
    <row r="744">
      <c r="B744" s="52"/>
    </row>
    <row r="745">
      <c r="B745" s="52"/>
    </row>
    <row r="746">
      <c r="B746" s="52"/>
    </row>
    <row r="747">
      <c r="B747" s="52"/>
    </row>
    <row r="748">
      <c r="B748" s="52"/>
    </row>
    <row r="749">
      <c r="B749" s="52"/>
    </row>
    <row r="750">
      <c r="B750" s="52"/>
    </row>
    <row r="751">
      <c r="B751" s="52"/>
    </row>
    <row r="752">
      <c r="B752" s="52"/>
    </row>
    <row r="753">
      <c r="B753" s="52"/>
    </row>
    <row r="754">
      <c r="B754" s="52"/>
    </row>
    <row r="755">
      <c r="B755" s="52"/>
    </row>
    <row r="756">
      <c r="B756" s="52"/>
    </row>
    <row r="757">
      <c r="B757" s="52"/>
    </row>
    <row r="758">
      <c r="B758" s="52"/>
    </row>
    <row r="759">
      <c r="B759" s="52"/>
    </row>
    <row r="760">
      <c r="B760" s="52"/>
    </row>
    <row r="761">
      <c r="B761" s="52"/>
    </row>
    <row r="762">
      <c r="B762" s="52"/>
    </row>
    <row r="763">
      <c r="B763" s="52"/>
    </row>
    <row r="764">
      <c r="B764" s="52"/>
    </row>
    <row r="765">
      <c r="B765" s="52"/>
    </row>
    <row r="766">
      <c r="B766" s="52"/>
    </row>
    <row r="767">
      <c r="B767" s="52"/>
    </row>
    <row r="768">
      <c r="B768" s="52"/>
    </row>
    <row r="769">
      <c r="B769" s="52"/>
    </row>
    <row r="770">
      <c r="B770" s="52"/>
    </row>
    <row r="771">
      <c r="B771" s="52"/>
    </row>
    <row r="772">
      <c r="B772" s="52"/>
    </row>
    <row r="773">
      <c r="B773" s="52"/>
    </row>
    <row r="774">
      <c r="B774" s="52"/>
    </row>
    <row r="775">
      <c r="B775" s="52"/>
    </row>
    <row r="776">
      <c r="B776" s="52"/>
    </row>
    <row r="777">
      <c r="B777" s="52"/>
    </row>
    <row r="778">
      <c r="B778" s="52"/>
    </row>
    <row r="779">
      <c r="B779" s="52"/>
    </row>
    <row r="780">
      <c r="B780" s="52"/>
    </row>
    <row r="781">
      <c r="B781" s="52"/>
    </row>
    <row r="782">
      <c r="B782" s="52"/>
    </row>
    <row r="783">
      <c r="B783" s="52"/>
    </row>
    <row r="784">
      <c r="B784" s="52"/>
    </row>
    <row r="785">
      <c r="B785" s="52"/>
    </row>
    <row r="786">
      <c r="B786" s="52"/>
    </row>
    <row r="787">
      <c r="B787" s="52"/>
    </row>
    <row r="788">
      <c r="B788" s="52"/>
    </row>
    <row r="789">
      <c r="B789" s="52"/>
    </row>
    <row r="790">
      <c r="B790" s="52"/>
    </row>
    <row r="791">
      <c r="B791" s="52"/>
    </row>
    <row r="792">
      <c r="B792" s="52"/>
    </row>
    <row r="793">
      <c r="B793" s="52"/>
    </row>
    <row r="794">
      <c r="B794" s="52"/>
    </row>
    <row r="795">
      <c r="B795" s="52"/>
    </row>
    <row r="796">
      <c r="B796" s="52"/>
    </row>
    <row r="797">
      <c r="B797" s="52"/>
    </row>
    <row r="798">
      <c r="B798" s="52"/>
    </row>
    <row r="799">
      <c r="B799" s="52"/>
    </row>
    <row r="800">
      <c r="B800" s="52"/>
    </row>
    <row r="801">
      <c r="B801" s="52"/>
    </row>
    <row r="802">
      <c r="B802" s="52"/>
    </row>
    <row r="803">
      <c r="B803" s="52"/>
    </row>
    <row r="804">
      <c r="B804" s="52"/>
    </row>
    <row r="805">
      <c r="B805" s="52"/>
    </row>
    <row r="806">
      <c r="B806" s="52"/>
    </row>
    <row r="807">
      <c r="B807" s="52"/>
    </row>
    <row r="808">
      <c r="B808" s="52"/>
    </row>
    <row r="809">
      <c r="B809" s="52"/>
    </row>
    <row r="810">
      <c r="B810" s="52"/>
    </row>
    <row r="811">
      <c r="B811" s="52"/>
    </row>
    <row r="812">
      <c r="B812" s="52"/>
    </row>
    <row r="813">
      <c r="B813" s="52"/>
    </row>
    <row r="814">
      <c r="B814" s="52"/>
    </row>
    <row r="815">
      <c r="B815" s="52"/>
    </row>
    <row r="816">
      <c r="B816" s="52"/>
    </row>
    <row r="817">
      <c r="B817" s="52"/>
    </row>
    <row r="818">
      <c r="B818" s="52"/>
    </row>
    <row r="819">
      <c r="B819" s="52"/>
    </row>
    <row r="820">
      <c r="B820" s="52"/>
    </row>
    <row r="821">
      <c r="B821" s="52"/>
    </row>
    <row r="822">
      <c r="B822" s="52"/>
    </row>
    <row r="823">
      <c r="B823" s="52"/>
    </row>
    <row r="824">
      <c r="B824" s="52"/>
    </row>
    <row r="825">
      <c r="B825" s="52"/>
    </row>
    <row r="826">
      <c r="B826" s="52"/>
    </row>
    <row r="827">
      <c r="B827" s="52"/>
    </row>
    <row r="828">
      <c r="B828" s="52"/>
    </row>
    <row r="829">
      <c r="B829" s="52"/>
    </row>
    <row r="830">
      <c r="B830" s="52"/>
    </row>
    <row r="831">
      <c r="B831" s="52"/>
    </row>
    <row r="832">
      <c r="B832" s="52"/>
    </row>
    <row r="833">
      <c r="B833" s="52"/>
    </row>
    <row r="834">
      <c r="B834" s="52"/>
    </row>
    <row r="835">
      <c r="B835" s="52"/>
    </row>
    <row r="836">
      <c r="B836" s="52"/>
    </row>
    <row r="837">
      <c r="B837" s="52"/>
    </row>
    <row r="838">
      <c r="B838" s="52"/>
    </row>
    <row r="839">
      <c r="B839" s="52"/>
    </row>
    <row r="840">
      <c r="B840" s="52"/>
    </row>
    <row r="841">
      <c r="B841" s="52"/>
    </row>
    <row r="842">
      <c r="B842" s="52"/>
    </row>
    <row r="843">
      <c r="B843" s="52"/>
    </row>
    <row r="844">
      <c r="B844" s="52"/>
    </row>
    <row r="845">
      <c r="B845" s="52"/>
    </row>
    <row r="846">
      <c r="B846" s="52"/>
    </row>
    <row r="847">
      <c r="B847" s="52"/>
    </row>
    <row r="848">
      <c r="B848" s="52"/>
    </row>
    <row r="849">
      <c r="B849" s="52"/>
    </row>
    <row r="850">
      <c r="B850" s="52"/>
    </row>
    <row r="851">
      <c r="B851" s="52"/>
    </row>
    <row r="852">
      <c r="B852" s="52"/>
    </row>
    <row r="853">
      <c r="B853" s="52"/>
    </row>
    <row r="854">
      <c r="B854" s="52"/>
    </row>
    <row r="855">
      <c r="B855" s="52"/>
    </row>
    <row r="856">
      <c r="B856" s="52"/>
    </row>
    <row r="857">
      <c r="B857" s="52"/>
    </row>
    <row r="858">
      <c r="B858" s="52"/>
    </row>
    <row r="859">
      <c r="B859" s="52"/>
    </row>
    <row r="860">
      <c r="B860" s="52"/>
    </row>
    <row r="861">
      <c r="B861" s="52"/>
    </row>
    <row r="862">
      <c r="B862" s="52"/>
    </row>
    <row r="863">
      <c r="B863" s="52"/>
    </row>
    <row r="864">
      <c r="B864" s="52"/>
    </row>
    <row r="865">
      <c r="B865" s="52"/>
    </row>
    <row r="866">
      <c r="B866" s="52"/>
    </row>
    <row r="867">
      <c r="B867" s="52"/>
    </row>
    <row r="868">
      <c r="B868" s="52"/>
    </row>
    <row r="869">
      <c r="B869" s="52"/>
    </row>
    <row r="870">
      <c r="B870" s="52"/>
    </row>
    <row r="871">
      <c r="B871" s="52"/>
    </row>
    <row r="872">
      <c r="B872" s="52"/>
    </row>
    <row r="873">
      <c r="B873" s="52"/>
    </row>
    <row r="874">
      <c r="B874" s="52"/>
    </row>
    <row r="875">
      <c r="B875" s="52"/>
    </row>
    <row r="876">
      <c r="B876" s="52"/>
    </row>
    <row r="877">
      <c r="B877" s="52"/>
    </row>
    <row r="878">
      <c r="B878" s="52"/>
    </row>
    <row r="879">
      <c r="B879" s="52"/>
    </row>
    <row r="880">
      <c r="B880" s="52"/>
    </row>
    <row r="881">
      <c r="B881" s="52"/>
    </row>
    <row r="882">
      <c r="B882" s="52"/>
    </row>
    <row r="883">
      <c r="B883" s="52"/>
    </row>
    <row r="884">
      <c r="B884" s="52"/>
    </row>
    <row r="885">
      <c r="B885" s="52"/>
    </row>
    <row r="886">
      <c r="B886" s="52"/>
    </row>
    <row r="887">
      <c r="B887" s="52"/>
    </row>
    <row r="888">
      <c r="B888" s="52"/>
    </row>
    <row r="889">
      <c r="B889" s="52"/>
    </row>
    <row r="890">
      <c r="B890" s="52"/>
    </row>
    <row r="891">
      <c r="B891" s="52"/>
    </row>
    <row r="892">
      <c r="B892" s="52"/>
    </row>
    <row r="893">
      <c r="B893" s="52"/>
    </row>
    <row r="894">
      <c r="B894" s="52"/>
    </row>
    <row r="895">
      <c r="B895" s="52"/>
    </row>
    <row r="896">
      <c r="B896" s="52"/>
    </row>
    <row r="897">
      <c r="B897" s="52"/>
    </row>
    <row r="898">
      <c r="B898" s="52"/>
    </row>
    <row r="899">
      <c r="B899" s="52"/>
    </row>
    <row r="900">
      <c r="B900" s="52"/>
    </row>
    <row r="901">
      <c r="B901" s="52"/>
    </row>
    <row r="902">
      <c r="B902" s="52"/>
    </row>
    <row r="903">
      <c r="B903" s="52"/>
    </row>
    <row r="904">
      <c r="B904" s="52"/>
    </row>
    <row r="905">
      <c r="B905" s="52"/>
    </row>
    <row r="906">
      <c r="B906" s="52"/>
    </row>
    <row r="907">
      <c r="B907" s="52"/>
    </row>
    <row r="908">
      <c r="B908" s="52"/>
    </row>
    <row r="909">
      <c r="B909" s="52"/>
    </row>
    <row r="910">
      <c r="B910" s="52"/>
    </row>
    <row r="911">
      <c r="B911" s="52"/>
    </row>
    <row r="912">
      <c r="B912" s="52"/>
    </row>
    <row r="913">
      <c r="B913" s="52"/>
    </row>
    <row r="914">
      <c r="B914" s="52"/>
    </row>
    <row r="915">
      <c r="B915" s="52"/>
    </row>
    <row r="916">
      <c r="B916" s="52"/>
    </row>
    <row r="917">
      <c r="B917" s="52"/>
    </row>
    <row r="918">
      <c r="B918" s="52"/>
    </row>
    <row r="919">
      <c r="B919" s="52"/>
    </row>
    <row r="920">
      <c r="B920" s="52"/>
    </row>
    <row r="921">
      <c r="B921" s="52"/>
    </row>
    <row r="922">
      <c r="B922" s="52"/>
    </row>
    <row r="923">
      <c r="B923" s="52"/>
    </row>
    <row r="924">
      <c r="B924" s="52"/>
    </row>
    <row r="925">
      <c r="B925" s="52"/>
    </row>
    <row r="926">
      <c r="B926" s="52"/>
    </row>
    <row r="927">
      <c r="B927" s="52"/>
    </row>
    <row r="928">
      <c r="B928" s="52"/>
    </row>
    <row r="929">
      <c r="B929" s="52"/>
    </row>
    <row r="930">
      <c r="B930" s="52"/>
    </row>
    <row r="931">
      <c r="B931" s="52"/>
    </row>
    <row r="932">
      <c r="B932" s="52"/>
    </row>
    <row r="933">
      <c r="B933" s="52"/>
    </row>
    <row r="934">
      <c r="B934" s="52"/>
    </row>
    <row r="935">
      <c r="B935" s="52"/>
    </row>
    <row r="936">
      <c r="B936" s="52"/>
    </row>
    <row r="937">
      <c r="B937" s="52"/>
    </row>
    <row r="938">
      <c r="B938" s="52"/>
    </row>
    <row r="939">
      <c r="B939" s="52"/>
    </row>
    <row r="940">
      <c r="B940" s="52"/>
    </row>
    <row r="941">
      <c r="B941" s="52"/>
    </row>
    <row r="942">
      <c r="B942" s="52"/>
    </row>
    <row r="943">
      <c r="B943" s="52"/>
    </row>
    <row r="944">
      <c r="B944" s="52"/>
    </row>
    <row r="945">
      <c r="B945" s="52"/>
    </row>
    <row r="946">
      <c r="B946" s="52"/>
    </row>
    <row r="947">
      <c r="B947" s="52"/>
    </row>
    <row r="948">
      <c r="B948" s="52"/>
    </row>
    <row r="949">
      <c r="B949" s="52"/>
    </row>
    <row r="950">
      <c r="B950" s="52"/>
    </row>
    <row r="951">
      <c r="B951" s="52"/>
    </row>
    <row r="952">
      <c r="B952" s="52"/>
    </row>
    <row r="953">
      <c r="B953" s="52"/>
    </row>
    <row r="954">
      <c r="B954" s="52"/>
    </row>
    <row r="955">
      <c r="B955" s="52"/>
    </row>
    <row r="956">
      <c r="B956" s="52"/>
    </row>
    <row r="957">
      <c r="B957" s="52"/>
    </row>
    <row r="958">
      <c r="B958" s="52"/>
    </row>
    <row r="959">
      <c r="B959" s="52"/>
    </row>
    <row r="960">
      <c r="B960" s="52"/>
    </row>
    <row r="961">
      <c r="B961" s="52"/>
    </row>
    <row r="962">
      <c r="B962" s="52"/>
    </row>
    <row r="963">
      <c r="B963" s="52"/>
    </row>
    <row r="964">
      <c r="B964" s="52"/>
    </row>
    <row r="965">
      <c r="B965" s="52"/>
    </row>
    <row r="966">
      <c r="B966" s="52"/>
    </row>
    <row r="967">
      <c r="B967" s="52"/>
    </row>
    <row r="968">
      <c r="B968" s="52"/>
    </row>
    <row r="969">
      <c r="B969" s="52"/>
    </row>
    <row r="970">
      <c r="B970" s="52"/>
    </row>
    <row r="971">
      <c r="B971" s="52"/>
    </row>
    <row r="972">
      <c r="B972" s="52"/>
    </row>
    <row r="973">
      <c r="B973" s="52"/>
    </row>
    <row r="974">
      <c r="B974" s="52"/>
    </row>
    <row r="975">
      <c r="B975" s="52"/>
    </row>
    <row r="976">
      <c r="B976" s="52"/>
    </row>
    <row r="977">
      <c r="B977" s="52"/>
    </row>
    <row r="978">
      <c r="B978" s="52"/>
    </row>
    <row r="979">
      <c r="B979" s="52"/>
    </row>
    <row r="980">
      <c r="B980" s="52"/>
    </row>
    <row r="981">
      <c r="B981" s="52"/>
    </row>
    <row r="982">
      <c r="B982" s="52"/>
    </row>
    <row r="983">
      <c r="B983" s="52"/>
    </row>
    <row r="984">
      <c r="B984" s="52"/>
    </row>
    <row r="985">
      <c r="B985" s="52"/>
    </row>
    <row r="986">
      <c r="B986" s="52"/>
    </row>
    <row r="987">
      <c r="B987" s="52"/>
    </row>
    <row r="988">
      <c r="B988" s="52"/>
    </row>
    <row r="989">
      <c r="B989" s="52"/>
    </row>
    <row r="990">
      <c r="B990" s="52"/>
    </row>
    <row r="991">
      <c r="B991" s="52"/>
    </row>
    <row r="992">
      <c r="B992" s="52"/>
    </row>
    <row r="993">
      <c r="B993" s="52"/>
    </row>
    <row r="994">
      <c r="B994" s="52"/>
    </row>
    <row r="995">
      <c r="B995" s="52"/>
    </row>
    <row r="996">
      <c r="B996" s="52"/>
    </row>
    <row r="997">
      <c r="B997" s="52"/>
    </row>
    <row r="998">
      <c r="B998" s="52"/>
    </row>
    <row r="999">
      <c r="B999" s="52"/>
    </row>
    <row r="1000">
      <c r="B1000" s="52"/>
    </row>
  </sheetData>
  <mergeCells count="1">
    <mergeCell ref="B1:G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7.0"/>
    <col customWidth="1" min="2" max="2" width="8.75"/>
    <col customWidth="1" min="3" max="4" width="8.38"/>
    <col customWidth="1" min="5" max="5" width="10.25"/>
  </cols>
  <sheetData>
    <row r="1">
      <c r="A1" s="6" t="s">
        <v>276</v>
      </c>
      <c r="D1" s="6"/>
      <c r="E1" s="6"/>
      <c r="AG1" s="87"/>
      <c r="AH1" s="87"/>
      <c r="AI1" s="87"/>
      <c r="AK1" s="87"/>
    </row>
    <row r="2">
      <c r="B2" s="88"/>
      <c r="C2" s="88"/>
      <c r="D2" s="89"/>
      <c r="E2" s="89"/>
      <c r="AG2" s="87"/>
      <c r="AH2" s="87"/>
      <c r="AI2" s="87"/>
      <c r="AK2" s="87"/>
    </row>
    <row r="3">
      <c r="B3" s="90" t="s">
        <v>285</v>
      </c>
      <c r="F3" s="4" t="s">
        <v>286</v>
      </c>
      <c r="N3" s="4" t="s">
        <v>287</v>
      </c>
      <c r="V3" s="4" t="s">
        <v>186</v>
      </c>
      <c r="AD3" s="4" t="s">
        <v>203</v>
      </c>
      <c r="AG3" s="87"/>
      <c r="AH3" s="87"/>
      <c r="AI3" s="87"/>
      <c r="AK3" s="87"/>
    </row>
    <row r="4">
      <c r="A4" s="4" t="s">
        <v>290</v>
      </c>
      <c r="B4" s="90" t="s">
        <v>291</v>
      </c>
      <c r="C4" s="90" t="s">
        <v>293</v>
      </c>
      <c r="D4" s="66" t="s">
        <v>295</v>
      </c>
      <c r="E4" s="66" t="s">
        <v>296</v>
      </c>
      <c r="F4" s="4" t="s">
        <v>297</v>
      </c>
      <c r="G4" s="4" t="s">
        <v>11</v>
      </c>
      <c r="H4" s="4" t="s">
        <v>157</v>
      </c>
      <c r="I4" s="4" t="s">
        <v>299</v>
      </c>
      <c r="J4" s="4" t="s">
        <v>300</v>
      </c>
      <c r="K4" s="4" t="s">
        <v>301</v>
      </c>
      <c r="L4" s="4" t="s">
        <v>302</v>
      </c>
      <c r="M4" s="4" t="s">
        <v>303</v>
      </c>
      <c r="N4" s="4" t="s">
        <v>305</v>
      </c>
      <c r="O4" s="4" t="s">
        <v>11</v>
      </c>
      <c r="P4" s="4" t="s">
        <v>157</v>
      </c>
      <c r="Q4" s="4" t="s">
        <v>162</v>
      </c>
      <c r="R4" s="4" t="s">
        <v>300</v>
      </c>
      <c r="S4" s="4" t="s">
        <v>301</v>
      </c>
      <c r="T4" s="4" t="s">
        <v>302</v>
      </c>
      <c r="U4" s="4" t="s">
        <v>303</v>
      </c>
      <c r="V4" s="4" t="s">
        <v>313</v>
      </c>
      <c r="W4" s="4" t="s">
        <v>11</v>
      </c>
      <c r="X4" s="4" t="s">
        <v>317</v>
      </c>
      <c r="Y4" s="4" t="s">
        <v>299</v>
      </c>
      <c r="Z4" s="4" t="s">
        <v>300</v>
      </c>
      <c r="AA4" s="4" t="s">
        <v>320</v>
      </c>
      <c r="AB4" s="4" t="s">
        <v>323</v>
      </c>
      <c r="AC4" s="4" t="s">
        <v>303</v>
      </c>
      <c r="AD4" s="4" t="s">
        <v>293</v>
      </c>
      <c r="AE4" s="4" t="s">
        <v>11</v>
      </c>
      <c r="AF4" s="4" t="s">
        <v>157</v>
      </c>
      <c r="AG4" s="91" t="s">
        <v>299</v>
      </c>
      <c r="AH4" s="91" t="s">
        <v>300</v>
      </c>
      <c r="AI4" s="91" t="s">
        <v>301</v>
      </c>
      <c r="AJ4" s="4" t="s">
        <v>302</v>
      </c>
      <c r="AK4" s="91" t="s">
        <v>303</v>
      </c>
    </row>
    <row r="5">
      <c r="A5" s="4">
        <v>1.0</v>
      </c>
      <c r="B5" s="92">
        <v>7.0</v>
      </c>
      <c r="C5" s="92">
        <v>100.0</v>
      </c>
      <c r="D5" s="66">
        <f>SUM(B$5)</f>
        <v>7</v>
      </c>
      <c r="E5" s="66">
        <f>sum(C5)</f>
        <v>100</v>
      </c>
      <c r="F5" s="94"/>
      <c r="G5" s="95">
        <v>1.02</v>
      </c>
      <c r="H5" s="95">
        <v>1.035</v>
      </c>
      <c r="I5" s="96"/>
      <c r="J5" s="96"/>
      <c r="K5" s="96"/>
      <c r="L5" s="96"/>
      <c r="M5" s="96"/>
      <c r="N5" s="96"/>
      <c r="O5" s="95">
        <v>1.04</v>
      </c>
      <c r="P5" s="95">
        <v>1.075</v>
      </c>
      <c r="Q5" s="96"/>
      <c r="R5" s="96"/>
      <c r="S5" s="96"/>
      <c r="T5" s="96"/>
      <c r="U5" s="96"/>
      <c r="V5" s="96"/>
      <c r="W5" s="95">
        <v>1.035</v>
      </c>
      <c r="X5" s="95">
        <v>1.055</v>
      </c>
      <c r="Y5" s="96"/>
      <c r="Z5" s="96"/>
      <c r="AA5" s="96"/>
      <c r="AB5" s="96"/>
      <c r="AC5" s="96"/>
      <c r="AD5" s="96"/>
      <c r="AE5" s="95">
        <v>1.022</v>
      </c>
      <c r="AF5" s="95">
        <v>1.037</v>
      </c>
      <c r="AG5" s="87"/>
      <c r="AH5" s="87"/>
      <c r="AI5" s="87"/>
      <c r="AK5" s="87"/>
    </row>
    <row r="6">
      <c r="A6" s="4">
        <v>2.0</v>
      </c>
      <c r="B6" s="92">
        <v>7.0</v>
      </c>
      <c r="C6" s="92">
        <v>100.0</v>
      </c>
      <c r="D6" s="66">
        <f t="shared" ref="D6:D163" si="1">SUM($B$5:B6)</f>
        <v>14</v>
      </c>
      <c r="E6" s="66">
        <f t="shared" ref="E6:E163" si="2">SUM($C$5:C6)</f>
        <v>200</v>
      </c>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87"/>
      <c r="AH6" s="87"/>
      <c r="AI6" s="87"/>
      <c r="AK6" s="87"/>
    </row>
    <row r="7">
      <c r="A7" s="4">
        <v>3.0</v>
      </c>
      <c r="B7" s="92">
        <v>7.0</v>
      </c>
      <c r="C7" s="92">
        <v>100.0</v>
      </c>
      <c r="D7" s="66">
        <f t="shared" si="1"/>
        <v>21</v>
      </c>
      <c r="E7" s="66">
        <f t="shared" si="2"/>
        <v>300</v>
      </c>
      <c r="F7" s="96"/>
      <c r="G7" s="96"/>
      <c r="H7" s="96"/>
      <c r="I7" s="96"/>
      <c r="J7" s="96"/>
      <c r="K7" s="96"/>
      <c r="L7" s="96"/>
      <c r="M7" s="96"/>
      <c r="N7" s="96"/>
      <c r="O7" s="96"/>
      <c r="P7" s="96"/>
      <c r="Q7" s="96"/>
      <c r="R7" s="96"/>
      <c r="S7" s="96"/>
      <c r="T7" s="96"/>
      <c r="U7" s="96"/>
      <c r="V7" s="96"/>
      <c r="W7" s="96"/>
      <c r="X7" s="96"/>
      <c r="Y7" s="96"/>
      <c r="Z7" s="96"/>
      <c r="AA7" s="96"/>
      <c r="AB7" s="96"/>
      <c r="AC7" s="96"/>
      <c r="AD7" s="96"/>
      <c r="AE7" s="96"/>
      <c r="AF7" s="96"/>
      <c r="AG7" s="87"/>
      <c r="AH7" s="87"/>
      <c r="AI7" s="87"/>
      <c r="AK7" s="87"/>
    </row>
    <row r="8">
      <c r="A8" s="97">
        <f t="shared" ref="A8:A304" si="3">A7+1</f>
        <v>4</v>
      </c>
      <c r="B8" s="92">
        <v>7.0</v>
      </c>
      <c r="C8" s="92">
        <v>500.0</v>
      </c>
      <c r="D8" s="66">
        <f t="shared" si="1"/>
        <v>28</v>
      </c>
      <c r="E8" s="66">
        <f t="shared" si="2"/>
        <v>800</v>
      </c>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87"/>
      <c r="AH8" s="87"/>
      <c r="AI8" s="87"/>
      <c r="AK8" s="87"/>
    </row>
    <row r="9">
      <c r="A9" s="97">
        <f t="shared" si="3"/>
        <v>5</v>
      </c>
      <c r="B9" s="92">
        <v>12.0</v>
      </c>
      <c r="C9" s="92">
        <v>500.0</v>
      </c>
      <c r="D9" s="66">
        <f t="shared" si="1"/>
        <v>40</v>
      </c>
      <c r="E9" s="66">
        <f t="shared" si="2"/>
        <v>1300</v>
      </c>
      <c r="F9" s="96"/>
      <c r="G9" s="96"/>
      <c r="H9" s="96"/>
      <c r="I9" s="96"/>
      <c r="J9" s="96"/>
      <c r="K9" s="96"/>
      <c r="L9" s="96"/>
      <c r="M9" s="96"/>
      <c r="N9" s="96"/>
      <c r="O9" s="96"/>
      <c r="P9" s="96"/>
      <c r="Q9" s="96"/>
      <c r="R9" s="96"/>
      <c r="S9" s="96"/>
      <c r="T9" s="96"/>
      <c r="U9" s="96"/>
      <c r="V9" s="96"/>
      <c r="W9" s="96"/>
      <c r="X9" s="96"/>
      <c r="Y9" s="96"/>
      <c r="Z9" s="96"/>
      <c r="AA9" s="96"/>
      <c r="AB9" s="96"/>
      <c r="AC9" s="96"/>
      <c r="AD9" s="96"/>
      <c r="AE9" s="96"/>
      <c r="AF9" s="96"/>
      <c r="AG9" s="87"/>
      <c r="AH9" s="87"/>
      <c r="AI9" s="87"/>
      <c r="AK9" s="87"/>
    </row>
    <row r="10">
      <c r="A10" s="97">
        <f t="shared" si="3"/>
        <v>6</v>
      </c>
      <c r="B10" s="92">
        <v>12.0</v>
      </c>
      <c r="C10" s="92">
        <v>500.0</v>
      </c>
      <c r="D10" s="66">
        <f t="shared" si="1"/>
        <v>52</v>
      </c>
      <c r="E10" s="66">
        <f t="shared" si="2"/>
        <v>1800</v>
      </c>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87"/>
      <c r="AH10" s="87"/>
      <c r="AI10" s="87"/>
      <c r="AK10" s="87"/>
    </row>
    <row r="11">
      <c r="A11" s="97">
        <f t="shared" si="3"/>
        <v>7</v>
      </c>
      <c r="B11" s="92">
        <v>12.0</v>
      </c>
      <c r="C11" s="92">
        <v>500.0</v>
      </c>
      <c r="D11" s="66">
        <f t="shared" si="1"/>
        <v>64</v>
      </c>
      <c r="E11" s="66">
        <f t="shared" si="2"/>
        <v>2300</v>
      </c>
      <c r="F11" s="96"/>
      <c r="G11" s="96"/>
      <c r="H11" s="96"/>
      <c r="I11" s="96"/>
      <c r="J11" s="96"/>
      <c r="K11" s="96"/>
      <c r="L11" s="96"/>
      <c r="M11" s="96"/>
      <c r="N11" s="96"/>
      <c r="O11" s="96"/>
      <c r="P11" s="96"/>
      <c r="Q11" s="96"/>
      <c r="R11" s="96"/>
      <c r="S11" s="96"/>
      <c r="T11" s="96"/>
      <c r="U11" s="96"/>
      <c r="V11" s="96"/>
      <c r="W11" s="95">
        <v>1.089</v>
      </c>
      <c r="X11" s="96"/>
      <c r="Y11" s="96"/>
      <c r="Z11" s="96"/>
      <c r="AA11" s="96"/>
      <c r="AB11" s="96"/>
      <c r="AC11" s="96"/>
      <c r="AD11" s="96"/>
      <c r="AE11" s="96"/>
      <c r="AF11" s="96"/>
      <c r="AG11" s="87"/>
      <c r="AH11" s="87"/>
      <c r="AI11" s="87"/>
      <c r="AK11" s="87"/>
    </row>
    <row r="12">
      <c r="A12" s="97">
        <f t="shared" si="3"/>
        <v>8</v>
      </c>
      <c r="B12" s="92">
        <v>12.0</v>
      </c>
      <c r="C12" s="90">
        <v>500.0</v>
      </c>
      <c r="D12" s="66">
        <f t="shared" si="1"/>
        <v>76</v>
      </c>
      <c r="E12" s="66">
        <f t="shared" si="2"/>
        <v>2800</v>
      </c>
      <c r="F12" s="96"/>
      <c r="G12" s="96"/>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87"/>
      <c r="AH12" s="87"/>
      <c r="AI12" s="87"/>
      <c r="AK12" s="87"/>
    </row>
    <row r="13">
      <c r="A13" s="97">
        <f t="shared" si="3"/>
        <v>9</v>
      </c>
      <c r="B13" s="92">
        <v>12.0</v>
      </c>
      <c r="C13" s="92">
        <v>1200.0</v>
      </c>
      <c r="D13" s="66">
        <f t="shared" si="1"/>
        <v>88</v>
      </c>
      <c r="E13" s="66">
        <f t="shared" si="2"/>
        <v>4000</v>
      </c>
      <c r="F13" s="96"/>
      <c r="G13" s="96"/>
      <c r="H13" s="96"/>
      <c r="I13" s="96"/>
      <c r="J13" s="96"/>
      <c r="K13" s="96"/>
      <c r="L13" s="96"/>
      <c r="M13" s="96"/>
      <c r="N13" s="96"/>
      <c r="O13" s="95">
        <v>1.243</v>
      </c>
      <c r="P13" s="95">
        <v>1.274</v>
      </c>
      <c r="Q13" s="96"/>
      <c r="R13" s="96"/>
      <c r="S13" s="96"/>
      <c r="T13" s="96"/>
      <c r="U13" s="96"/>
      <c r="V13" s="96"/>
      <c r="W13" s="96"/>
      <c r="X13" s="96"/>
      <c r="Y13" s="96"/>
      <c r="Z13" s="96"/>
      <c r="AA13" s="96"/>
      <c r="AB13" s="96"/>
      <c r="AC13" s="96"/>
      <c r="AD13" s="96"/>
      <c r="AE13" s="96"/>
      <c r="AF13" s="96"/>
      <c r="AG13" s="87"/>
      <c r="AH13" s="87"/>
      <c r="AI13" s="87"/>
      <c r="AK13" s="87"/>
    </row>
    <row r="14">
      <c r="A14" s="97">
        <f t="shared" si="3"/>
        <v>10</v>
      </c>
      <c r="B14" s="92">
        <v>20.0</v>
      </c>
      <c r="C14" s="92">
        <v>1200.0</v>
      </c>
      <c r="D14" s="66">
        <f t="shared" si="1"/>
        <v>108</v>
      </c>
      <c r="E14" s="66">
        <f t="shared" si="2"/>
        <v>5200</v>
      </c>
      <c r="F14" s="96"/>
      <c r="G14" s="96"/>
      <c r="H14" s="96"/>
      <c r="I14" s="96"/>
      <c r="J14" s="95">
        <v>1.267</v>
      </c>
      <c r="K14" s="96"/>
      <c r="L14" s="96"/>
      <c r="M14" s="96"/>
      <c r="N14" s="96"/>
      <c r="O14" s="94">
        <v>1.309</v>
      </c>
      <c r="P14" s="94">
        <v>1.34</v>
      </c>
      <c r="Q14" s="96"/>
      <c r="R14" s="96"/>
      <c r="S14" s="96"/>
      <c r="T14" s="96"/>
      <c r="U14" s="96"/>
      <c r="V14" s="96"/>
      <c r="W14" s="96"/>
      <c r="X14" s="95">
        <v>1.192</v>
      </c>
      <c r="Y14" s="96"/>
      <c r="Z14" s="96"/>
      <c r="AA14" s="96"/>
      <c r="AB14" s="96"/>
      <c r="AC14" s="96"/>
      <c r="AD14" s="96">
        <f t="shared" ref="AD14:AD65" si="4">AE14-AE13</f>
        <v>1.092</v>
      </c>
      <c r="AE14" s="95">
        <v>1.092</v>
      </c>
      <c r="AF14" s="95">
        <v>1.102</v>
      </c>
      <c r="AG14" s="87"/>
      <c r="AH14" s="87"/>
      <c r="AI14" s="87"/>
      <c r="AK14" s="87"/>
    </row>
    <row r="15">
      <c r="A15" s="97">
        <f t="shared" si="3"/>
        <v>11</v>
      </c>
      <c r="B15" s="92">
        <v>20.0</v>
      </c>
      <c r="C15" s="92">
        <v>1200.0</v>
      </c>
      <c r="D15" s="66">
        <f t="shared" si="1"/>
        <v>128</v>
      </c>
      <c r="E15" s="66">
        <f t="shared" si="2"/>
        <v>6400</v>
      </c>
      <c r="F15" s="94"/>
      <c r="G15" s="94"/>
      <c r="H15" s="96"/>
      <c r="I15" s="96"/>
      <c r="J15" s="96"/>
      <c r="K15" s="96"/>
      <c r="L15" s="96"/>
      <c r="M15" s="96"/>
      <c r="N15" s="96"/>
      <c r="O15" s="96"/>
      <c r="P15" s="96"/>
      <c r="Q15" s="96"/>
      <c r="R15" s="96"/>
      <c r="S15" s="96"/>
      <c r="T15" s="96"/>
      <c r="U15" s="96"/>
      <c r="V15" s="98">
        <f t="shared" ref="V15:V25" si="5">X15-X14</f>
        <v>0.034</v>
      </c>
      <c r="W15" s="96"/>
      <c r="X15" s="95">
        <v>1.226</v>
      </c>
      <c r="Y15" s="96"/>
      <c r="Z15" s="96"/>
      <c r="AA15" s="96"/>
      <c r="AB15" s="96"/>
      <c r="AC15" s="96"/>
      <c r="AD15" s="98">
        <f t="shared" si="4"/>
        <v>0.007</v>
      </c>
      <c r="AE15" s="95">
        <v>1.099</v>
      </c>
      <c r="AF15" s="99">
        <f t="shared" ref="AF15:AF18" si="6">AE15+0.01</f>
        <v>1.109</v>
      </c>
      <c r="AG15" s="87"/>
      <c r="AH15" s="87"/>
      <c r="AI15" s="87"/>
      <c r="AK15" s="87"/>
    </row>
    <row r="16">
      <c r="A16" s="97">
        <f t="shared" si="3"/>
        <v>12</v>
      </c>
      <c r="B16" s="92">
        <v>20.0</v>
      </c>
      <c r="C16" s="92">
        <v>1200.0</v>
      </c>
      <c r="D16" s="66">
        <f t="shared" si="1"/>
        <v>148</v>
      </c>
      <c r="E16" s="66">
        <f t="shared" si="2"/>
        <v>7600</v>
      </c>
      <c r="F16" s="96"/>
      <c r="G16" s="96"/>
      <c r="H16" s="96"/>
      <c r="I16" s="96"/>
      <c r="J16" s="95">
        <v>1.315</v>
      </c>
      <c r="K16" s="96"/>
      <c r="L16" s="96"/>
      <c r="M16" s="96"/>
      <c r="N16" s="96"/>
      <c r="O16" s="96"/>
      <c r="P16" s="96"/>
      <c r="Q16" s="96"/>
      <c r="R16" s="96"/>
      <c r="S16" s="96"/>
      <c r="T16" s="96"/>
      <c r="U16" s="96"/>
      <c r="V16" s="100">
        <f t="shared" si="5"/>
        <v>0.013</v>
      </c>
      <c r="W16" s="96"/>
      <c r="X16" s="95">
        <v>1.239</v>
      </c>
      <c r="Y16" s="96"/>
      <c r="Z16" s="96"/>
      <c r="AA16" s="96"/>
      <c r="AB16" s="96"/>
      <c r="AC16" s="96"/>
      <c r="AD16" s="96">
        <f t="shared" si="4"/>
        <v>0.005</v>
      </c>
      <c r="AE16" s="95">
        <v>1.104</v>
      </c>
      <c r="AF16" s="99">
        <f t="shared" si="6"/>
        <v>1.114</v>
      </c>
      <c r="AG16" s="87"/>
      <c r="AH16" s="87"/>
      <c r="AI16" s="87"/>
      <c r="AK16" s="87"/>
    </row>
    <row r="17">
      <c r="A17" s="97">
        <f t="shared" si="3"/>
        <v>13</v>
      </c>
      <c r="B17" s="92">
        <v>20.0</v>
      </c>
      <c r="C17" s="92">
        <v>1200.0</v>
      </c>
      <c r="D17" s="66">
        <f t="shared" si="1"/>
        <v>168</v>
      </c>
      <c r="E17" s="66">
        <f t="shared" si="2"/>
        <v>8800</v>
      </c>
      <c r="F17" s="94">
        <f>J17-J16</f>
        <v>0.024</v>
      </c>
      <c r="G17" s="95">
        <v>1.299</v>
      </c>
      <c r="H17" s="96"/>
      <c r="I17" s="96"/>
      <c r="J17" s="95">
        <v>1.339</v>
      </c>
      <c r="K17" s="96"/>
      <c r="L17" s="96"/>
      <c r="M17" s="96"/>
      <c r="N17" s="96"/>
      <c r="O17" s="96"/>
      <c r="P17" s="96"/>
      <c r="Q17" s="96"/>
      <c r="R17" s="96"/>
      <c r="S17" s="96"/>
      <c r="T17" s="96"/>
      <c r="U17" s="96"/>
      <c r="V17" s="96">
        <f t="shared" si="5"/>
        <v>0.012</v>
      </c>
      <c r="W17" s="96"/>
      <c r="X17" s="95">
        <v>1.251</v>
      </c>
      <c r="Y17" s="96"/>
      <c r="Z17" s="96"/>
      <c r="AA17" s="96"/>
      <c r="AB17" s="96"/>
      <c r="AC17" s="96"/>
      <c r="AD17" s="96">
        <f t="shared" si="4"/>
        <v>0.005</v>
      </c>
      <c r="AE17" s="95">
        <v>1.109</v>
      </c>
      <c r="AF17" s="99">
        <f t="shared" si="6"/>
        <v>1.119</v>
      </c>
      <c r="AG17" s="87"/>
      <c r="AH17" s="87"/>
      <c r="AI17" s="87"/>
      <c r="AK17" s="87"/>
    </row>
    <row r="18">
      <c r="A18" s="97">
        <f t="shared" si="3"/>
        <v>14</v>
      </c>
      <c r="B18" s="92">
        <v>20.0</v>
      </c>
      <c r="C18" s="92">
        <v>2500.0</v>
      </c>
      <c r="D18" s="66">
        <f t="shared" si="1"/>
        <v>188</v>
      </c>
      <c r="E18" s="66">
        <f t="shared" si="2"/>
        <v>11300</v>
      </c>
      <c r="F18" s="94">
        <f>G18-G17</f>
        <v>0.024</v>
      </c>
      <c r="G18" s="95">
        <v>1.323</v>
      </c>
      <c r="H18" s="96"/>
      <c r="I18" s="96"/>
      <c r="J18" s="95">
        <v>1.363</v>
      </c>
      <c r="K18" s="96"/>
      <c r="L18" s="96"/>
      <c r="M18" s="96"/>
      <c r="N18" s="96"/>
      <c r="O18" s="94"/>
      <c r="P18" s="96"/>
      <c r="Q18" s="96"/>
      <c r="R18" s="96"/>
      <c r="S18" s="96"/>
      <c r="T18" s="96"/>
      <c r="U18" s="96"/>
      <c r="V18" s="96">
        <f t="shared" si="5"/>
        <v>0.013</v>
      </c>
      <c r="W18" s="95">
        <v>1.244</v>
      </c>
      <c r="X18" s="95">
        <v>1.264</v>
      </c>
      <c r="Y18" s="96"/>
      <c r="Z18" s="96"/>
      <c r="AA18" s="96"/>
      <c r="AB18" s="96"/>
      <c r="AC18" s="96"/>
      <c r="AD18" s="96">
        <f t="shared" si="4"/>
        <v>0.005</v>
      </c>
      <c r="AE18" s="95">
        <v>1.114</v>
      </c>
      <c r="AF18" s="99">
        <f t="shared" si="6"/>
        <v>1.124</v>
      </c>
      <c r="AG18" s="87"/>
      <c r="AH18" s="87"/>
      <c r="AI18" s="87"/>
      <c r="AK18" s="87"/>
    </row>
    <row r="19">
      <c r="A19" s="97">
        <f t="shared" si="3"/>
        <v>15</v>
      </c>
      <c r="B19" s="92">
        <v>25.0</v>
      </c>
      <c r="C19" s="92">
        <v>2500.0</v>
      </c>
      <c r="D19" s="66">
        <f t="shared" si="1"/>
        <v>213</v>
      </c>
      <c r="E19" s="66">
        <f t="shared" si="2"/>
        <v>13800</v>
      </c>
      <c r="F19" s="94"/>
      <c r="G19" s="94"/>
      <c r="H19" s="96"/>
      <c r="I19" s="96"/>
      <c r="J19" s="96"/>
      <c r="K19" s="96"/>
      <c r="L19" s="96"/>
      <c r="M19" s="96"/>
      <c r="N19" s="96"/>
      <c r="O19" s="96"/>
      <c r="P19" s="96"/>
      <c r="Q19" s="96"/>
      <c r="R19" s="96"/>
      <c r="S19" s="96"/>
      <c r="T19" s="96"/>
      <c r="U19" s="96"/>
      <c r="V19" s="100">
        <f t="shared" si="5"/>
        <v>0.015</v>
      </c>
      <c r="W19" s="95">
        <v>1.259</v>
      </c>
      <c r="X19" s="95">
        <v>1.279</v>
      </c>
      <c r="Y19" s="96"/>
      <c r="Z19" s="96"/>
      <c r="AA19" s="96"/>
      <c r="AB19" s="96"/>
      <c r="AC19" s="96"/>
      <c r="AD19" s="96">
        <f t="shared" si="4"/>
        <v>0.005</v>
      </c>
      <c r="AE19" s="99">
        <f t="shared" ref="AE19:AE22" si="7">AF19-0.01</f>
        <v>1.119</v>
      </c>
      <c r="AF19" s="95">
        <v>1.129</v>
      </c>
      <c r="AG19" s="87"/>
      <c r="AH19" s="87"/>
      <c r="AI19" s="87"/>
      <c r="AK19" s="87"/>
    </row>
    <row r="20">
      <c r="A20" s="97">
        <f t="shared" si="3"/>
        <v>16</v>
      </c>
      <c r="B20" s="92">
        <v>25.0</v>
      </c>
      <c r="C20" s="92">
        <v>2500.0</v>
      </c>
      <c r="D20" s="66">
        <f t="shared" si="1"/>
        <v>238</v>
      </c>
      <c r="E20" s="66">
        <f t="shared" si="2"/>
        <v>16300</v>
      </c>
      <c r="F20" s="96"/>
      <c r="G20" s="96"/>
      <c r="H20" s="96"/>
      <c r="I20" s="96"/>
      <c r="J20" s="96"/>
      <c r="K20" s="96"/>
      <c r="L20" s="96"/>
      <c r="M20" s="96"/>
      <c r="N20" s="96"/>
      <c r="O20" s="96"/>
      <c r="P20" s="96"/>
      <c r="Q20" s="96"/>
      <c r="R20" s="96"/>
      <c r="S20" s="96"/>
      <c r="T20" s="96"/>
      <c r="U20" s="96"/>
      <c r="V20" s="96">
        <f t="shared" si="5"/>
        <v>0.015</v>
      </c>
      <c r="W20" s="95">
        <v>1.274</v>
      </c>
      <c r="X20" s="95">
        <v>1.294</v>
      </c>
      <c r="Y20" s="96"/>
      <c r="Z20" s="96"/>
      <c r="AA20" s="96"/>
      <c r="AB20" s="96"/>
      <c r="AC20" s="96"/>
      <c r="AD20" s="96">
        <f t="shared" si="4"/>
        <v>0.005</v>
      </c>
      <c r="AE20" s="99">
        <f t="shared" si="7"/>
        <v>1.124</v>
      </c>
      <c r="AF20" s="95">
        <v>1.134</v>
      </c>
      <c r="AG20" s="87"/>
      <c r="AH20" s="87"/>
      <c r="AI20" s="87"/>
      <c r="AK20" s="87"/>
    </row>
    <row r="21">
      <c r="A21" s="97">
        <f t="shared" si="3"/>
        <v>17</v>
      </c>
      <c r="B21" s="92">
        <v>25.0</v>
      </c>
      <c r="C21" s="92">
        <v>2500.0</v>
      </c>
      <c r="D21" s="66">
        <f t="shared" si="1"/>
        <v>263</v>
      </c>
      <c r="E21" s="66">
        <f t="shared" si="2"/>
        <v>18800</v>
      </c>
      <c r="F21" s="96"/>
      <c r="G21" s="96"/>
      <c r="H21" s="96"/>
      <c r="I21" s="96"/>
      <c r="J21" s="96"/>
      <c r="K21" s="96"/>
      <c r="L21" s="96"/>
      <c r="M21" s="96"/>
      <c r="N21" s="96"/>
      <c r="O21" s="96"/>
      <c r="P21" s="96"/>
      <c r="Q21" s="96"/>
      <c r="R21" s="96"/>
      <c r="S21" s="96"/>
      <c r="T21" s="96"/>
      <c r="U21" s="96"/>
      <c r="V21" s="96">
        <f t="shared" si="5"/>
        <v>0.015</v>
      </c>
      <c r="W21" s="95">
        <v>1.289</v>
      </c>
      <c r="X21" s="95">
        <v>1.309</v>
      </c>
      <c r="Y21" s="96"/>
      <c r="Z21" s="96"/>
      <c r="AA21" s="96"/>
      <c r="AB21" s="96"/>
      <c r="AC21" s="96"/>
      <c r="AD21" s="96">
        <f t="shared" si="4"/>
        <v>0.005</v>
      </c>
      <c r="AE21" s="99">
        <f t="shared" si="7"/>
        <v>1.129</v>
      </c>
      <c r="AF21" s="95">
        <v>1.139</v>
      </c>
      <c r="AG21" s="87"/>
      <c r="AH21" s="87"/>
      <c r="AI21" s="87"/>
      <c r="AK21" s="87"/>
    </row>
    <row r="22">
      <c r="A22" s="97">
        <f t="shared" si="3"/>
        <v>18</v>
      </c>
      <c r="B22" s="92">
        <v>25.0</v>
      </c>
      <c r="C22" s="92">
        <v>2500.0</v>
      </c>
      <c r="D22" s="66">
        <f t="shared" si="1"/>
        <v>288</v>
      </c>
      <c r="E22" s="66">
        <f t="shared" si="2"/>
        <v>21300</v>
      </c>
      <c r="F22" s="96"/>
      <c r="G22" s="96"/>
      <c r="H22" s="96"/>
      <c r="I22" s="96"/>
      <c r="J22" s="96"/>
      <c r="K22" s="96"/>
      <c r="L22" s="96"/>
      <c r="M22" s="96"/>
      <c r="N22" s="96"/>
      <c r="O22" s="96"/>
      <c r="P22" s="96"/>
      <c r="Q22" s="96"/>
      <c r="R22" s="96"/>
      <c r="S22" s="96"/>
      <c r="T22" s="96"/>
      <c r="U22" s="96"/>
      <c r="V22" s="96">
        <f t="shared" si="5"/>
        <v>0.015</v>
      </c>
      <c r="W22" s="95">
        <v>1.304</v>
      </c>
      <c r="X22" s="95">
        <v>1.324</v>
      </c>
      <c r="Y22" s="96"/>
      <c r="Z22" s="96"/>
      <c r="AA22" s="96"/>
      <c r="AB22" s="96"/>
      <c r="AC22" s="96"/>
      <c r="AD22" s="96">
        <f t="shared" si="4"/>
        <v>0.005</v>
      </c>
      <c r="AE22" s="99">
        <f t="shared" si="7"/>
        <v>1.134</v>
      </c>
      <c r="AF22" s="95">
        <v>1.144</v>
      </c>
      <c r="AG22" s="87"/>
      <c r="AH22" s="87"/>
      <c r="AI22" s="87"/>
      <c r="AK22" s="87"/>
    </row>
    <row r="23">
      <c r="A23" s="97">
        <f t="shared" si="3"/>
        <v>19</v>
      </c>
      <c r="B23" s="92">
        <v>25.0</v>
      </c>
      <c r="C23" s="92">
        <v>5500.0</v>
      </c>
      <c r="D23" s="66">
        <f t="shared" si="1"/>
        <v>313</v>
      </c>
      <c r="E23" s="66">
        <f t="shared" si="2"/>
        <v>26800</v>
      </c>
      <c r="F23" s="96"/>
      <c r="G23" s="96"/>
      <c r="H23" s="96"/>
      <c r="I23" s="96"/>
      <c r="J23" s="96"/>
      <c r="K23" s="96"/>
      <c r="L23" s="96"/>
      <c r="M23" s="96"/>
      <c r="N23" s="96"/>
      <c r="O23" s="96"/>
      <c r="P23" s="96"/>
      <c r="Q23" s="96"/>
      <c r="R23" s="96"/>
      <c r="S23" s="96"/>
      <c r="T23" s="96"/>
      <c r="U23" s="96"/>
      <c r="V23" s="98">
        <f t="shared" si="5"/>
        <v>0.062</v>
      </c>
      <c r="W23" s="95">
        <v>1.366</v>
      </c>
      <c r="X23" s="95">
        <v>1.386</v>
      </c>
      <c r="Y23" s="96"/>
      <c r="Z23" s="96"/>
      <c r="AA23" s="96"/>
      <c r="AB23" s="96"/>
      <c r="AC23" s="96"/>
      <c r="AD23" s="96">
        <f t="shared" si="4"/>
        <v>-1.134</v>
      </c>
      <c r="AE23" s="96"/>
      <c r="AF23" s="96"/>
      <c r="AG23" s="87"/>
      <c r="AH23" s="87"/>
      <c r="AI23" s="87"/>
      <c r="AK23" s="87"/>
    </row>
    <row r="24">
      <c r="A24" s="97">
        <f t="shared" si="3"/>
        <v>20</v>
      </c>
      <c r="B24" s="92">
        <v>40.0</v>
      </c>
      <c r="C24" s="92">
        <v>5500.0</v>
      </c>
      <c r="D24" s="66">
        <f t="shared" si="1"/>
        <v>353</v>
      </c>
      <c r="E24" s="66">
        <f t="shared" si="2"/>
        <v>32300</v>
      </c>
      <c r="F24" s="96"/>
      <c r="G24" s="96"/>
      <c r="H24" s="96"/>
      <c r="I24" s="96"/>
      <c r="J24" s="96"/>
      <c r="K24" s="96"/>
      <c r="L24" s="96"/>
      <c r="M24" s="96"/>
      <c r="N24" s="96"/>
      <c r="O24" s="96"/>
      <c r="P24" s="96"/>
      <c r="Q24" s="96"/>
      <c r="R24" s="96"/>
      <c r="S24" s="96"/>
      <c r="T24" s="96"/>
      <c r="U24" s="96"/>
      <c r="V24" s="100">
        <f t="shared" si="5"/>
        <v>0.023</v>
      </c>
      <c r="W24" s="95">
        <v>1.389</v>
      </c>
      <c r="X24" s="95">
        <v>1.409</v>
      </c>
      <c r="Y24" s="96"/>
      <c r="Z24" s="96"/>
      <c r="AA24" s="96"/>
      <c r="AB24" s="96"/>
      <c r="AC24" s="96"/>
      <c r="AD24" s="96">
        <f t="shared" si="4"/>
        <v>0</v>
      </c>
      <c r="AE24" s="96"/>
      <c r="AF24" s="96"/>
      <c r="AG24" s="87"/>
      <c r="AH24" s="87"/>
      <c r="AI24" s="87"/>
      <c r="AK24" s="87"/>
    </row>
    <row r="25">
      <c r="A25" s="97">
        <f t="shared" si="3"/>
        <v>21</v>
      </c>
      <c r="B25" s="92">
        <v>40.0</v>
      </c>
      <c r="C25" s="92">
        <v>5500.0</v>
      </c>
      <c r="D25" s="66">
        <f t="shared" si="1"/>
        <v>393</v>
      </c>
      <c r="E25" s="66">
        <f t="shared" si="2"/>
        <v>37800</v>
      </c>
      <c r="F25" s="96"/>
      <c r="G25" s="94"/>
      <c r="H25" s="94"/>
      <c r="I25" s="96"/>
      <c r="J25" s="96"/>
      <c r="K25" s="96"/>
      <c r="L25" s="96"/>
      <c r="M25" s="96"/>
      <c r="N25" s="96"/>
      <c r="O25" s="96"/>
      <c r="P25" s="96"/>
      <c r="Q25" s="96"/>
      <c r="R25" s="96"/>
      <c r="S25" s="96"/>
      <c r="T25" s="96"/>
      <c r="U25" s="96"/>
      <c r="V25" s="98">
        <f t="shared" si="5"/>
        <v>0.132</v>
      </c>
      <c r="W25" s="95">
        <v>1.47</v>
      </c>
      <c r="X25" s="95">
        <v>1.541</v>
      </c>
      <c r="Y25" s="96"/>
      <c r="Z25" s="96"/>
      <c r="AA25" s="96"/>
      <c r="AB25" s="96"/>
      <c r="AC25" s="96"/>
      <c r="AD25" s="96">
        <f t="shared" si="4"/>
        <v>0</v>
      </c>
      <c r="AE25" s="96"/>
      <c r="AF25" s="96"/>
      <c r="AG25" s="87"/>
      <c r="AH25" s="87"/>
      <c r="AI25" s="87"/>
      <c r="AK25" s="87"/>
    </row>
    <row r="26">
      <c r="A26" s="97">
        <f t="shared" si="3"/>
        <v>22</v>
      </c>
      <c r="B26" s="92">
        <v>40.0</v>
      </c>
      <c r="C26" s="92">
        <v>5500.0</v>
      </c>
      <c r="D26" s="66">
        <f t="shared" si="1"/>
        <v>433</v>
      </c>
      <c r="E26" s="66">
        <f t="shared" si="2"/>
        <v>43300</v>
      </c>
      <c r="F26" s="96">
        <f>H26-H25</f>
        <v>0</v>
      </c>
      <c r="G26" s="96"/>
      <c r="H26" s="94"/>
      <c r="I26" s="96"/>
      <c r="J26" s="96"/>
      <c r="K26" s="96"/>
      <c r="L26" s="96"/>
      <c r="M26" s="96"/>
      <c r="N26" s="96"/>
      <c r="O26" s="96"/>
      <c r="P26" s="96"/>
      <c r="Q26" s="96"/>
      <c r="R26" s="96"/>
      <c r="S26" s="96"/>
      <c r="T26" s="96"/>
      <c r="U26" s="96"/>
      <c r="V26" s="96"/>
      <c r="W26" s="96"/>
      <c r="X26" s="96"/>
      <c r="Y26" s="96"/>
      <c r="Z26" s="96"/>
      <c r="AA26" s="96"/>
      <c r="AB26" s="96"/>
      <c r="AC26" s="96"/>
      <c r="AD26" s="96">
        <f t="shared" si="4"/>
        <v>0</v>
      </c>
      <c r="AE26" s="96"/>
      <c r="AF26" s="96"/>
      <c r="AG26" s="87"/>
      <c r="AH26" s="87"/>
      <c r="AI26" s="87"/>
      <c r="AK26" s="87"/>
    </row>
    <row r="27">
      <c r="A27" s="97">
        <f t="shared" si="3"/>
        <v>23</v>
      </c>
      <c r="B27" s="92">
        <v>40.0</v>
      </c>
      <c r="C27" s="92">
        <v>5500.0</v>
      </c>
      <c r="D27" s="66">
        <f t="shared" si="1"/>
        <v>473</v>
      </c>
      <c r="E27" s="66">
        <f t="shared" si="2"/>
        <v>48800</v>
      </c>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f t="shared" si="4"/>
        <v>0</v>
      </c>
      <c r="AE27" s="94"/>
      <c r="AF27" s="96"/>
      <c r="AG27" s="87"/>
      <c r="AH27" s="87"/>
      <c r="AI27" s="87"/>
      <c r="AK27" s="87"/>
    </row>
    <row r="28">
      <c r="A28" s="97">
        <f t="shared" si="3"/>
        <v>24</v>
      </c>
      <c r="B28" s="92">
        <v>40.0</v>
      </c>
      <c r="C28" s="92">
        <v>10000.0</v>
      </c>
      <c r="D28" s="66">
        <f t="shared" si="1"/>
        <v>513</v>
      </c>
      <c r="E28" s="66">
        <f t="shared" si="2"/>
        <v>58800</v>
      </c>
      <c r="F28" s="96"/>
      <c r="G28" s="95">
        <v>1.863</v>
      </c>
      <c r="H28" s="95">
        <v>1.873</v>
      </c>
      <c r="I28" s="96"/>
      <c r="J28" s="96"/>
      <c r="K28" s="96"/>
      <c r="L28" s="96"/>
      <c r="M28" s="96"/>
      <c r="N28" s="96"/>
      <c r="O28" s="96"/>
      <c r="P28" s="94"/>
      <c r="Q28" s="94"/>
      <c r="R28" s="94"/>
      <c r="S28" s="94"/>
      <c r="T28" s="94"/>
      <c r="U28" s="94"/>
      <c r="V28" s="96"/>
      <c r="W28" s="96"/>
      <c r="X28" s="96"/>
      <c r="Y28" s="96"/>
      <c r="Z28" s="96"/>
      <c r="AA28" s="96"/>
      <c r="AB28" s="96"/>
      <c r="AC28" s="96"/>
      <c r="AD28" s="96">
        <f t="shared" si="4"/>
        <v>0</v>
      </c>
      <c r="AE28" s="94"/>
      <c r="AF28" s="96"/>
      <c r="AG28" s="87"/>
      <c r="AH28" s="87"/>
      <c r="AI28" s="87"/>
      <c r="AK28" s="87"/>
    </row>
    <row r="29">
      <c r="A29" s="97">
        <f t="shared" si="3"/>
        <v>25</v>
      </c>
      <c r="B29" s="92">
        <v>50.0</v>
      </c>
      <c r="C29" s="92">
        <v>10000.0</v>
      </c>
      <c r="D29" s="66">
        <f t="shared" si="1"/>
        <v>563</v>
      </c>
      <c r="E29" s="66">
        <f t="shared" si="2"/>
        <v>68800</v>
      </c>
      <c r="F29" s="96">
        <f>G30-G28</f>
        <v>-1.863</v>
      </c>
      <c r="G29" s="96"/>
      <c r="H29" s="96"/>
      <c r="I29" s="96"/>
      <c r="J29" s="96"/>
      <c r="K29" s="96"/>
      <c r="L29" s="96"/>
      <c r="M29" s="96"/>
      <c r="N29" s="96">
        <f t="shared" ref="N29:N33" si="8">P29-P28</f>
        <v>0</v>
      </c>
      <c r="O29" s="96"/>
      <c r="P29" s="94"/>
      <c r="Q29" s="94"/>
      <c r="R29" s="94"/>
      <c r="S29" s="94"/>
      <c r="T29" s="94"/>
      <c r="U29" s="94"/>
      <c r="V29" s="96"/>
      <c r="W29" s="96"/>
      <c r="X29" s="96"/>
      <c r="Y29" s="96"/>
      <c r="Z29" s="96"/>
      <c r="AA29" s="96"/>
      <c r="AB29" s="96"/>
      <c r="AC29" s="96"/>
      <c r="AD29" s="96">
        <f t="shared" si="4"/>
        <v>0</v>
      </c>
      <c r="AE29" s="94"/>
      <c r="AF29" s="96"/>
      <c r="AG29" s="87"/>
      <c r="AH29" s="87"/>
      <c r="AI29" s="87"/>
      <c r="AK29" s="87"/>
    </row>
    <row r="30">
      <c r="A30" s="97">
        <f t="shared" si="3"/>
        <v>26</v>
      </c>
      <c r="B30" s="92">
        <v>50.0</v>
      </c>
      <c r="C30" s="92">
        <v>10000.0</v>
      </c>
      <c r="D30" s="66">
        <f t="shared" si="1"/>
        <v>613</v>
      </c>
      <c r="E30" s="66">
        <f t="shared" si="2"/>
        <v>78800</v>
      </c>
      <c r="F30" s="94"/>
      <c r="G30" s="94"/>
      <c r="H30" s="96"/>
      <c r="I30" s="96"/>
      <c r="J30" s="96"/>
      <c r="K30" s="96"/>
      <c r="L30" s="96"/>
      <c r="M30" s="96"/>
      <c r="N30" s="96">
        <f t="shared" si="8"/>
        <v>0</v>
      </c>
      <c r="O30" s="96"/>
      <c r="P30" s="94"/>
      <c r="Q30" s="94"/>
      <c r="R30" s="94"/>
      <c r="S30" s="94"/>
      <c r="T30" s="94"/>
      <c r="U30" s="94"/>
      <c r="V30" s="96"/>
      <c r="W30" s="94"/>
      <c r="X30" s="96"/>
      <c r="Y30" s="96"/>
      <c r="Z30" s="96"/>
      <c r="AA30" s="96"/>
      <c r="AB30" s="96"/>
      <c r="AC30" s="96"/>
      <c r="AD30" s="96">
        <f t="shared" si="4"/>
        <v>0</v>
      </c>
      <c r="AE30" s="94"/>
      <c r="AF30" s="96"/>
      <c r="AG30" s="87"/>
      <c r="AH30" s="87"/>
      <c r="AI30" s="87"/>
      <c r="AK30" s="87"/>
    </row>
    <row r="31">
      <c r="A31" s="97">
        <f t="shared" si="3"/>
        <v>27</v>
      </c>
      <c r="B31" s="92">
        <v>50.0</v>
      </c>
      <c r="C31" s="92">
        <v>10000.0</v>
      </c>
      <c r="D31" s="66">
        <f t="shared" si="1"/>
        <v>663</v>
      </c>
      <c r="E31" s="66">
        <f t="shared" si="2"/>
        <v>88800</v>
      </c>
      <c r="F31" s="96">
        <f t="shared" ref="F31:F34" si="9">G31-G30</f>
        <v>0</v>
      </c>
      <c r="G31" s="94"/>
      <c r="H31" s="96"/>
      <c r="I31" s="96"/>
      <c r="J31" s="96"/>
      <c r="K31" s="96"/>
      <c r="L31" s="96"/>
      <c r="M31" s="96"/>
      <c r="N31" s="96">
        <f t="shared" si="8"/>
        <v>1.939</v>
      </c>
      <c r="O31" s="95">
        <v>1.908</v>
      </c>
      <c r="P31" s="95">
        <v>1.939</v>
      </c>
      <c r="Q31" s="94"/>
      <c r="R31" s="94"/>
      <c r="S31" s="94"/>
      <c r="T31" s="94"/>
      <c r="U31" s="94"/>
      <c r="V31" s="96"/>
      <c r="W31" s="96"/>
      <c r="X31" s="96"/>
      <c r="Y31" s="96"/>
      <c r="Z31" s="96"/>
      <c r="AA31" s="96"/>
      <c r="AB31" s="96"/>
      <c r="AC31" s="96"/>
      <c r="AD31" s="96">
        <f t="shared" si="4"/>
        <v>0</v>
      </c>
      <c r="AE31" s="94"/>
      <c r="AF31" s="96"/>
      <c r="AG31" s="87"/>
      <c r="AH31" s="87"/>
      <c r="AI31" s="87"/>
      <c r="AK31" s="87"/>
    </row>
    <row r="32">
      <c r="A32" s="97">
        <f t="shared" si="3"/>
        <v>28</v>
      </c>
      <c r="B32" s="92">
        <v>50.0</v>
      </c>
      <c r="C32" s="92">
        <v>10000.0</v>
      </c>
      <c r="D32" s="66">
        <f t="shared" si="1"/>
        <v>713</v>
      </c>
      <c r="E32" s="66">
        <f t="shared" si="2"/>
        <v>98800</v>
      </c>
      <c r="F32" s="96">
        <f t="shared" si="9"/>
        <v>0</v>
      </c>
      <c r="G32" s="94"/>
      <c r="H32" s="96"/>
      <c r="I32" s="96"/>
      <c r="J32" s="96"/>
      <c r="K32" s="96"/>
      <c r="L32" s="96"/>
      <c r="M32" s="96"/>
      <c r="N32" s="96">
        <f t="shared" si="8"/>
        <v>-1.939</v>
      </c>
      <c r="O32" s="96"/>
      <c r="P32" s="94"/>
      <c r="Q32" s="94"/>
      <c r="R32" s="94"/>
      <c r="S32" s="94"/>
      <c r="T32" s="94"/>
      <c r="U32" s="94"/>
      <c r="V32" s="96"/>
      <c r="W32" s="94"/>
      <c r="X32" s="96"/>
      <c r="Y32" s="96"/>
      <c r="Z32" s="96"/>
      <c r="AA32" s="96"/>
      <c r="AB32" s="96"/>
      <c r="AC32" s="96"/>
      <c r="AD32" s="96">
        <f t="shared" si="4"/>
        <v>0</v>
      </c>
      <c r="AE32" s="94"/>
      <c r="AF32" s="96"/>
      <c r="AG32" s="87"/>
      <c r="AH32" s="87"/>
      <c r="AI32" s="87"/>
      <c r="AK32" s="87"/>
    </row>
    <row r="33">
      <c r="A33" s="97">
        <f t="shared" si="3"/>
        <v>29</v>
      </c>
      <c r="B33" s="92">
        <v>50.0</v>
      </c>
      <c r="C33" s="92">
        <v>10000.0</v>
      </c>
      <c r="D33" s="66">
        <f t="shared" si="1"/>
        <v>763</v>
      </c>
      <c r="E33" s="66">
        <f t="shared" si="2"/>
        <v>108800</v>
      </c>
      <c r="F33" s="96">
        <f t="shared" si="9"/>
        <v>2.26</v>
      </c>
      <c r="G33" s="95">
        <v>2.26</v>
      </c>
      <c r="H33" s="94">
        <v>2.27</v>
      </c>
      <c r="I33" s="94">
        <v>2.29</v>
      </c>
      <c r="J33" s="96"/>
      <c r="K33" s="96"/>
      <c r="L33" s="96"/>
      <c r="M33" s="96"/>
      <c r="N33" s="96">
        <f t="shared" si="8"/>
        <v>0</v>
      </c>
      <c r="O33" s="94"/>
      <c r="P33" s="94"/>
      <c r="Q33" s="94"/>
      <c r="R33" s="94"/>
      <c r="S33" s="94"/>
      <c r="T33" s="94"/>
      <c r="U33" s="94"/>
      <c r="V33" s="96">
        <f>W33-W32</f>
        <v>1.775</v>
      </c>
      <c r="W33" s="95">
        <v>1.775</v>
      </c>
      <c r="X33" s="95">
        <v>1.795</v>
      </c>
      <c r="Y33" s="96"/>
      <c r="Z33" s="96"/>
      <c r="AA33" s="96"/>
      <c r="AB33" s="96"/>
      <c r="AC33" s="96"/>
      <c r="AD33" s="96">
        <f t="shared" si="4"/>
        <v>0</v>
      </c>
      <c r="AE33" s="94"/>
      <c r="AF33" s="96"/>
      <c r="AG33" s="87"/>
      <c r="AH33" s="87"/>
      <c r="AI33" s="87"/>
      <c r="AK33" s="87"/>
    </row>
    <row r="34">
      <c r="A34" s="97">
        <f t="shared" si="3"/>
        <v>30</v>
      </c>
      <c r="B34" s="92">
        <v>74.0</v>
      </c>
      <c r="C34" s="92">
        <v>10000.0</v>
      </c>
      <c r="D34" s="66">
        <f t="shared" si="1"/>
        <v>837</v>
      </c>
      <c r="E34" s="66">
        <f t="shared" si="2"/>
        <v>118800</v>
      </c>
      <c r="F34" s="96">
        <f t="shared" si="9"/>
        <v>0.052</v>
      </c>
      <c r="G34" s="94">
        <v>2.312</v>
      </c>
      <c r="H34" s="94"/>
      <c r="I34" s="96"/>
      <c r="J34" s="96"/>
      <c r="K34" s="96"/>
      <c r="L34" s="96"/>
      <c r="M34" s="96"/>
      <c r="N34" s="96"/>
      <c r="O34" s="94">
        <v>2.013</v>
      </c>
      <c r="P34" s="94"/>
      <c r="Q34" s="94"/>
      <c r="R34" s="94"/>
      <c r="S34" s="94"/>
      <c r="T34" s="94"/>
      <c r="U34" s="94"/>
      <c r="V34" s="96">
        <f t="shared" ref="V34:V37" si="10">Y35-Y34</f>
        <v>0</v>
      </c>
      <c r="W34" s="94"/>
      <c r="X34" s="96"/>
      <c r="Z34" s="96"/>
      <c r="AA34" s="96"/>
      <c r="AB34" s="96"/>
      <c r="AC34" s="96"/>
      <c r="AD34" s="96">
        <f t="shared" si="4"/>
        <v>0</v>
      </c>
      <c r="AE34" s="94"/>
      <c r="AF34" s="96"/>
      <c r="AG34" s="87"/>
      <c r="AH34" s="87"/>
      <c r="AI34" s="87"/>
      <c r="AK34" s="87"/>
    </row>
    <row r="35">
      <c r="A35" s="97">
        <f t="shared" si="3"/>
        <v>31</v>
      </c>
      <c r="B35" s="92">
        <v>74.0</v>
      </c>
      <c r="C35" s="92">
        <v>10000.0</v>
      </c>
      <c r="D35" s="66">
        <f t="shared" si="1"/>
        <v>911</v>
      </c>
      <c r="E35" s="66">
        <f t="shared" si="2"/>
        <v>128800</v>
      </c>
      <c r="F35" s="96">
        <f t="shared" ref="F35:F37" si="11">H35-H34</f>
        <v>0</v>
      </c>
      <c r="G35" s="94"/>
      <c r="H35" s="94"/>
      <c r="I35" s="96"/>
      <c r="J35" s="96"/>
      <c r="K35" s="96"/>
      <c r="L35" s="96"/>
      <c r="M35" s="96"/>
      <c r="N35" s="96"/>
      <c r="O35" s="94"/>
      <c r="P35" s="94"/>
      <c r="Q35" s="94"/>
      <c r="R35" s="94"/>
      <c r="S35" s="94"/>
      <c r="T35" s="94"/>
      <c r="U35" s="94"/>
      <c r="V35" s="96">
        <f t="shared" si="10"/>
        <v>0</v>
      </c>
      <c r="W35" s="94"/>
      <c r="X35" s="96"/>
      <c r="Y35" s="94"/>
      <c r="Z35" s="96"/>
      <c r="AA35" s="96"/>
      <c r="AB35" s="96"/>
      <c r="AC35" s="96"/>
      <c r="AD35" s="96">
        <f t="shared" si="4"/>
        <v>0</v>
      </c>
      <c r="AE35" s="94"/>
      <c r="AF35" s="96"/>
      <c r="AG35" s="87"/>
      <c r="AH35" s="87"/>
      <c r="AI35" s="87"/>
      <c r="AK35" s="87"/>
    </row>
    <row r="36">
      <c r="A36" s="97">
        <f t="shared" si="3"/>
        <v>32</v>
      </c>
      <c r="B36" s="92">
        <v>74.0</v>
      </c>
      <c r="C36" s="92">
        <v>10000.0</v>
      </c>
      <c r="D36" s="66">
        <f t="shared" si="1"/>
        <v>985</v>
      </c>
      <c r="E36" s="66">
        <f t="shared" si="2"/>
        <v>138800</v>
      </c>
      <c r="F36" s="96">
        <f t="shared" si="11"/>
        <v>0</v>
      </c>
      <c r="G36" s="94"/>
      <c r="H36" s="94"/>
      <c r="I36" s="96"/>
      <c r="J36" s="96"/>
      <c r="K36" s="96"/>
      <c r="L36" s="96"/>
      <c r="M36" s="96"/>
      <c r="N36" s="96"/>
      <c r="O36" s="95">
        <v>2.083</v>
      </c>
      <c r="P36" s="95">
        <v>2.114</v>
      </c>
      <c r="Q36" s="95">
        <v>2.164</v>
      </c>
      <c r="R36" s="94"/>
      <c r="S36" s="94"/>
      <c r="T36" s="94"/>
      <c r="U36" s="94"/>
      <c r="V36" s="96">
        <f t="shared" si="10"/>
        <v>0</v>
      </c>
      <c r="W36" s="94"/>
      <c r="X36" s="96"/>
      <c r="Y36" s="94"/>
      <c r="Z36" s="96"/>
      <c r="AA36" s="96"/>
      <c r="AB36" s="96"/>
      <c r="AC36" s="96"/>
      <c r="AD36" s="96">
        <f t="shared" si="4"/>
        <v>0</v>
      </c>
      <c r="AE36" s="94"/>
      <c r="AF36" s="96"/>
      <c r="AG36" s="87"/>
      <c r="AH36" s="87"/>
      <c r="AI36" s="87"/>
      <c r="AK36" s="87"/>
    </row>
    <row r="37">
      <c r="A37" s="97">
        <f t="shared" si="3"/>
        <v>33</v>
      </c>
      <c r="B37" s="92">
        <v>74.0</v>
      </c>
      <c r="C37" s="92">
        <v>10000.0</v>
      </c>
      <c r="D37" s="66">
        <f t="shared" si="1"/>
        <v>1059</v>
      </c>
      <c r="E37" s="66">
        <f t="shared" si="2"/>
        <v>148800</v>
      </c>
      <c r="F37" s="96">
        <f t="shared" si="11"/>
        <v>0</v>
      </c>
      <c r="G37" s="94"/>
      <c r="H37" s="96"/>
      <c r="I37" s="96"/>
      <c r="J37" s="96"/>
      <c r="K37" s="96"/>
      <c r="L37" s="96"/>
      <c r="M37" s="96"/>
      <c r="N37" s="96"/>
      <c r="O37" s="94"/>
      <c r="P37" s="94"/>
      <c r="Q37" s="94"/>
      <c r="R37" s="94"/>
      <c r="S37" s="94"/>
      <c r="T37" s="94"/>
      <c r="U37" s="94"/>
      <c r="V37" s="96">
        <f t="shared" si="10"/>
        <v>0</v>
      </c>
      <c r="W37" s="94"/>
      <c r="X37" s="94"/>
      <c r="Y37" s="94"/>
      <c r="Z37" s="96"/>
      <c r="AA37" s="96"/>
      <c r="AB37" s="96"/>
      <c r="AC37" s="96"/>
      <c r="AD37" s="96">
        <f t="shared" si="4"/>
        <v>1.209</v>
      </c>
      <c r="AE37" s="95">
        <v>1.209</v>
      </c>
      <c r="AF37" s="95">
        <v>1.219</v>
      </c>
      <c r="AG37" s="102">
        <v>1.234</v>
      </c>
      <c r="AH37" s="103"/>
      <c r="AI37" s="87"/>
      <c r="AK37" s="87"/>
    </row>
    <row r="38">
      <c r="A38" s="97">
        <f t="shared" si="3"/>
        <v>34</v>
      </c>
      <c r="B38" s="92">
        <v>74.0</v>
      </c>
      <c r="C38" s="92">
        <v>17000.0</v>
      </c>
      <c r="D38" s="66">
        <f t="shared" si="1"/>
        <v>1133</v>
      </c>
      <c r="E38" s="66">
        <f t="shared" si="2"/>
        <v>165800</v>
      </c>
      <c r="F38" s="96">
        <f t="shared" ref="F38:F54" si="12">G38-G37</f>
        <v>0</v>
      </c>
      <c r="G38" s="94"/>
      <c r="H38" s="96"/>
      <c r="I38" s="96"/>
      <c r="J38" s="96"/>
      <c r="K38" s="96"/>
      <c r="L38" s="96"/>
      <c r="M38" s="96"/>
      <c r="N38" s="96">
        <f t="shared" ref="N38:N42" si="13">O38-O37</f>
        <v>0</v>
      </c>
      <c r="O38" s="94"/>
      <c r="P38" s="96"/>
      <c r="Q38" s="94"/>
      <c r="R38" s="94"/>
      <c r="S38" s="94"/>
      <c r="T38" s="94"/>
      <c r="U38" s="94"/>
      <c r="V38" s="96">
        <f>W38-W37</f>
        <v>0</v>
      </c>
      <c r="W38" s="94"/>
      <c r="X38" s="94"/>
      <c r="Y38" s="94"/>
      <c r="Z38" s="96"/>
      <c r="AA38" s="96"/>
      <c r="AB38" s="96"/>
      <c r="AC38" s="96"/>
      <c r="AD38" s="96">
        <f t="shared" si="4"/>
        <v>-1.209</v>
      </c>
      <c r="AE38" s="94"/>
      <c r="AF38" s="96"/>
      <c r="AG38" s="87"/>
      <c r="AH38" s="87"/>
      <c r="AI38" s="87"/>
      <c r="AK38" s="87"/>
    </row>
    <row r="39">
      <c r="A39" s="97">
        <f t="shared" si="3"/>
        <v>35</v>
      </c>
      <c r="B39" s="92">
        <v>89.0</v>
      </c>
      <c r="C39" s="92">
        <v>17000.0</v>
      </c>
      <c r="D39" s="66">
        <f t="shared" si="1"/>
        <v>1222</v>
      </c>
      <c r="E39" s="66">
        <f t="shared" si="2"/>
        <v>182800</v>
      </c>
      <c r="F39" s="96">
        <f t="shared" si="12"/>
        <v>0</v>
      </c>
      <c r="G39" s="94"/>
      <c r="H39" s="96"/>
      <c r="I39" s="96"/>
      <c r="J39" s="96"/>
      <c r="K39" s="96"/>
      <c r="L39" s="96"/>
      <c r="M39" s="96"/>
      <c r="N39" s="96">
        <f t="shared" si="13"/>
        <v>0</v>
      </c>
      <c r="O39" s="94"/>
      <c r="P39" s="96"/>
      <c r="Q39" s="94"/>
      <c r="R39" s="94"/>
      <c r="S39" s="94"/>
      <c r="T39" s="94"/>
      <c r="U39" s="94"/>
      <c r="V39" s="96">
        <f>Y40-Y39</f>
        <v>0</v>
      </c>
      <c r="W39" s="95">
        <v>1.92</v>
      </c>
      <c r="X39" s="94"/>
      <c r="Y39" s="94"/>
      <c r="Z39" s="96"/>
      <c r="AA39" s="96"/>
      <c r="AB39" s="96"/>
      <c r="AC39" s="96"/>
      <c r="AD39" s="96">
        <f t="shared" si="4"/>
        <v>0</v>
      </c>
      <c r="AE39" s="94"/>
      <c r="AF39" s="96"/>
      <c r="AG39" s="87"/>
      <c r="AH39" s="87"/>
      <c r="AI39" s="87"/>
      <c r="AK39" s="87"/>
    </row>
    <row r="40">
      <c r="A40" s="97">
        <f t="shared" si="3"/>
        <v>36</v>
      </c>
      <c r="B40" s="92">
        <v>89.0</v>
      </c>
      <c r="C40" s="92">
        <v>17000.0</v>
      </c>
      <c r="D40" s="66">
        <f t="shared" si="1"/>
        <v>1311</v>
      </c>
      <c r="E40" s="66">
        <f t="shared" si="2"/>
        <v>199800</v>
      </c>
      <c r="F40" s="96">
        <f t="shared" si="12"/>
        <v>0</v>
      </c>
      <c r="G40" s="94"/>
      <c r="H40" s="96"/>
      <c r="I40" s="96"/>
      <c r="J40" s="96"/>
      <c r="K40" s="96"/>
      <c r="L40" s="96"/>
      <c r="M40" s="96"/>
      <c r="N40" s="96">
        <f t="shared" si="13"/>
        <v>0</v>
      </c>
      <c r="O40" s="94"/>
      <c r="P40" s="96"/>
      <c r="Q40" s="94"/>
      <c r="R40" s="94"/>
      <c r="S40" s="94"/>
      <c r="T40" s="94"/>
      <c r="U40" s="94"/>
      <c r="V40" s="96">
        <f t="shared" ref="V40:V44" si="14">W40-W39</f>
        <v>-1.92</v>
      </c>
      <c r="W40" s="94"/>
      <c r="X40" s="94"/>
      <c r="Y40" s="94"/>
      <c r="Z40" s="96"/>
      <c r="AA40" s="96"/>
      <c r="AB40" s="96"/>
      <c r="AC40" s="96"/>
      <c r="AD40" s="96">
        <f t="shared" si="4"/>
        <v>0</v>
      </c>
      <c r="AE40" s="94"/>
      <c r="AF40" s="96"/>
      <c r="AG40" s="87"/>
      <c r="AH40" s="87"/>
      <c r="AI40" s="87"/>
      <c r="AK40" s="87"/>
    </row>
    <row r="41">
      <c r="A41" s="97">
        <f t="shared" si="3"/>
        <v>37</v>
      </c>
      <c r="B41" s="92">
        <v>89.0</v>
      </c>
      <c r="C41" s="92">
        <v>17000.0</v>
      </c>
      <c r="D41" s="66">
        <f t="shared" si="1"/>
        <v>1400</v>
      </c>
      <c r="E41" s="66">
        <f t="shared" si="2"/>
        <v>216800</v>
      </c>
      <c r="F41" s="96">
        <f t="shared" si="12"/>
        <v>0</v>
      </c>
      <c r="G41" s="94"/>
      <c r="H41" s="94"/>
      <c r="I41" s="96"/>
      <c r="J41" s="94"/>
      <c r="K41" s="94"/>
      <c r="L41" s="94"/>
      <c r="M41" s="94"/>
      <c r="N41" s="96">
        <f t="shared" si="13"/>
        <v>0</v>
      </c>
      <c r="O41" s="94"/>
      <c r="P41" s="96"/>
      <c r="Q41" s="94"/>
      <c r="R41" s="94"/>
      <c r="S41" s="94"/>
      <c r="T41" s="94"/>
      <c r="U41" s="94"/>
      <c r="V41" s="96">
        <f t="shared" si="14"/>
        <v>0</v>
      </c>
      <c r="W41" s="94"/>
      <c r="X41" s="94"/>
      <c r="Y41" s="96"/>
      <c r="Z41" s="96"/>
      <c r="AA41" s="96"/>
      <c r="AB41" s="96"/>
      <c r="AC41" s="96"/>
      <c r="AD41" s="96">
        <f t="shared" si="4"/>
        <v>0</v>
      </c>
      <c r="AE41" s="94"/>
      <c r="AF41" s="96"/>
      <c r="AG41" s="87"/>
      <c r="AH41" s="87"/>
      <c r="AI41" s="87"/>
      <c r="AK41" s="87"/>
    </row>
    <row r="42">
      <c r="A42" s="97">
        <f t="shared" si="3"/>
        <v>38</v>
      </c>
      <c r="B42" s="92">
        <v>89.0</v>
      </c>
      <c r="C42" s="92">
        <v>17000.0</v>
      </c>
      <c r="D42" s="66">
        <f t="shared" si="1"/>
        <v>1489</v>
      </c>
      <c r="E42" s="66">
        <f t="shared" si="2"/>
        <v>233800</v>
      </c>
      <c r="F42" s="96">
        <f t="shared" si="12"/>
        <v>0</v>
      </c>
      <c r="G42" s="94"/>
      <c r="H42" s="94"/>
      <c r="I42" s="96"/>
      <c r="J42" s="94"/>
      <c r="K42" s="94"/>
      <c r="L42" s="94"/>
      <c r="M42" s="94"/>
      <c r="N42" s="96">
        <f t="shared" si="13"/>
        <v>0</v>
      </c>
      <c r="O42" s="94"/>
      <c r="P42" s="94"/>
      <c r="Q42" s="96"/>
      <c r="R42" s="94"/>
      <c r="S42" s="94"/>
      <c r="T42" s="94"/>
      <c r="U42" s="94"/>
      <c r="V42" s="96">
        <f t="shared" si="14"/>
        <v>0</v>
      </c>
      <c r="W42" s="94"/>
      <c r="X42" s="94"/>
      <c r="Y42" s="96"/>
      <c r="Z42" s="96"/>
      <c r="AA42" s="96"/>
      <c r="AB42" s="96"/>
      <c r="AC42" s="96"/>
      <c r="AD42" s="96">
        <f t="shared" si="4"/>
        <v>0</v>
      </c>
      <c r="AE42" s="94"/>
      <c r="AF42" s="96"/>
      <c r="AG42" s="87"/>
      <c r="AH42" s="87"/>
      <c r="AI42" s="87"/>
      <c r="AK42" s="87"/>
    </row>
    <row r="43">
      <c r="A43" s="97">
        <f t="shared" si="3"/>
        <v>39</v>
      </c>
      <c r="B43" s="92">
        <v>89.0</v>
      </c>
      <c r="C43" s="92">
        <v>30000.0</v>
      </c>
      <c r="D43" s="66">
        <f t="shared" si="1"/>
        <v>1578</v>
      </c>
      <c r="E43" s="66">
        <f t="shared" si="2"/>
        <v>263800</v>
      </c>
      <c r="F43" s="96">
        <f t="shared" si="12"/>
        <v>0</v>
      </c>
      <c r="G43" s="94"/>
      <c r="H43" s="94"/>
      <c r="I43" s="96"/>
      <c r="J43" s="94"/>
      <c r="K43" s="94"/>
      <c r="L43" s="94"/>
      <c r="M43" s="94"/>
      <c r="N43" s="96"/>
      <c r="O43" s="96"/>
      <c r="P43" s="96"/>
      <c r="Q43" s="96"/>
      <c r="R43" s="94"/>
      <c r="S43" s="94"/>
      <c r="T43" s="94"/>
      <c r="U43" s="94"/>
      <c r="V43" s="96">
        <f t="shared" si="14"/>
        <v>0</v>
      </c>
      <c r="W43" s="94"/>
      <c r="X43" s="94"/>
      <c r="Y43" s="96"/>
      <c r="Z43" s="96"/>
      <c r="AA43" s="96"/>
      <c r="AB43" s="96"/>
      <c r="AC43" s="96"/>
      <c r="AD43" s="96">
        <f t="shared" si="4"/>
        <v>0</v>
      </c>
      <c r="AE43" s="94"/>
      <c r="AF43" s="96"/>
      <c r="AG43" s="87"/>
      <c r="AH43" s="87"/>
      <c r="AI43" s="87"/>
      <c r="AK43" s="87"/>
    </row>
    <row r="44">
      <c r="A44" s="97">
        <f t="shared" si="3"/>
        <v>40</v>
      </c>
      <c r="B44" s="92">
        <v>89.0</v>
      </c>
      <c r="C44" s="92">
        <v>30000.0</v>
      </c>
      <c r="D44" s="66">
        <f t="shared" si="1"/>
        <v>1667</v>
      </c>
      <c r="E44" s="66">
        <f t="shared" si="2"/>
        <v>293800</v>
      </c>
      <c r="F44" s="96">
        <f t="shared" si="12"/>
        <v>0</v>
      </c>
      <c r="G44" s="94"/>
      <c r="H44" s="94"/>
      <c r="I44" s="96"/>
      <c r="J44" s="94"/>
      <c r="K44" s="94"/>
      <c r="L44" s="94"/>
      <c r="M44" s="94"/>
      <c r="N44" s="96"/>
      <c r="O44" s="96"/>
      <c r="P44" s="96"/>
      <c r="Q44" s="96"/>
      <c r="R44" s="94"/>
      <c r="S44" s="94"/>
      <c r="T44" s="94"/>
      <c r="U44" s="94"/>
      <c r="V44" s="96">
        <f t="shared" si="14"/>
        <v>0</v>
      </c>
      <c r="W44" s="94"/>
      <c r="X44" s="94"/>
      <c r="Y44" s="96"/>
      <c r="Z44" s="94">
        <v>2.497</v>
      </c>
      <c r="AA44" s="96"/>
      <c r="AB44" s="96"/>
      <c r="AC44" s="96"/>
      <c r="AD44" s="96">
        <f t="shared" si="4"/>
        <v>0</v>
      </c>
      <c r="AE44" s="94"/>
      <c r="AF44" s="96"/>
      <c r="AG44" s="87"/>
      <c r="AH44" s="87"/>
      <c r="AI44" s="87"/>
      <c r="AK44" s="87"/>
    </row>
    <row r="45">
      <c r="A45" s="97">
        <f t="shared" si="3"/>
        <v>41</v>
      </c>
      <c r="B45" s="92">
        <v>119.0</v>
      </c>
      <c r="C45" s="92">
        <v>30000.0</v>
      </c>
      <c r="D45" s="104">
        <f t="shared" si="1"/>
        <v>1786</v>
      </c>
      <c r="E45" s="104">
        <f t="shared" si="2"/>
        <v>323800</v>
      </c>
      <c r="F45" s="96">
        <f t="shared" si="12"/>
        <v>3.449</v>
      </c>
      <c r="G45" s="99">
        <f>H45-0.009</f>
        <v>3.449</v>
      </c>
      <c r="H45" s="95">
        <v>3.458</v>
      </c>
      <c r="I45" s="99">
        <f t="shared" ref="I45:I53" si="15">H45+0.02</f>
        <v>3.478</v>
      </c>
      <c r="J45" s="94"/>
      <c r="K45" s="94"/>
      <c r="L45" s="94"/>
      <c r="M45" s="94"/>
      <c r="N45" s="96"/>
      <c r="O45" s="95">
        <v>3.756</v>
      </c>
      <c r="P45" s="95">
        <v>3.787</v>
      </c>
      <c r="Q45" s="99">
        <f t="shared" ref="Q45:Q57" si="16">P45+0.05</f>
        <v>3.837</v>
      </c>
      <c r="R45" s="95">
        <v>3.882</v>
      </c>
      <c r="S45" s="94"/>
      <c r="T45" s="94"/>
      <c r="U45" s="94"/>
      <c r="V45" s="94"/>
      <c r="W45" s="94">
        <v>2.472</v>
      </c>
      <c r="X45" s="94">
        <v>2.492</v>
      </c>
      <c r="Y45" s="96"/>
      <c r="Z45" s="96"/>
      <c r="AA45" s="96"/>
      <c r="AB45" s="96"/>
      <c r="AC45" s="96"/>
      <c r="AD45" s="96">
        <f t="shared" si="4"/>
        <v>0</v>
      </c>
      <c r="AE45" s="94"/>
      <c r="AF45" s="96"/>
      <c r="AG45" s="87"/>
      <c r="AH45" s="87"/>
      <c r="AI45" s="87"/>
      <c r="AK45" s="87"/>
    </row>
    <row r="46">
      <c r="A46" s="97">
        <f t="shared" si="3"/>
        <v>42</v>
      </c>
      <c r="B46" s="92">
        <v>119.0</v>
      </c>
      <c r="C46" s="92">
        <v>30000.0</v>
      </c>
      <c r="D46" s="66">
        <f t="shared" si="1"/>
        <v>1905</v>
      </c>
      <c r="E46" s="66">
        <f t="shared" si="2"/>
        <v>353800</v>
      </c>
      <c r="F46" s="96">
        <f t="shared" si="12"/>
        <v>0.076</v>
      </c>
      <c r="G46" s="95">
        <v>3.525</v>
      </c>
      <c r="H46" s="95">
        <v>3.534</v>
      </c>
      <c r="I46" s="99">
        <f t="shared" si="15"/>
        <v>3.554</v>
      </c>
      <c r="J46" s="94"/>
      <c r="K46" s="94"/>
      <c r="L46" s="94"/>
      <c r="M46" s="94"/>
      <c r="N46" s="96">
        <f>R46-R45</f>
        <v>0.083</v>
      </c>
      <c r="O46" s="99">
        <f>P46-0.031</f>
        <v>3.839</v>
      </c>
      <c r="P46" s="95">
        <v>3.87</v>
      </c>
      <c r="Q46" s="99">
        <f t="shared" si="16"/>
        <v>3.92</v>
      </c>
      <c r="R46" s="95">
        <f>Q46+0.045</f>
        <v>3.965</v>
      </c>
      <c r="S46" s="95">
        <f>R46+0.05</f>
        <v>4.015</v>
      </c>
      <c r="T46" s="95"/>
      <c r="U46" s="95"/>
      <c r="V46" s="94">
        <v>0.05</v>
      </c>
      <c r="W46" s="94">
        <v>2.48</v>
      </c>
      <c r="X46" s="94">
        <f t="shared" ref="X46:X58" si="17">W46+0.01</f>
        <v>2.49</v>
      </c>
      <c r="Y46" s="96">
        <f t="shared" ref="Y46:Y54" si="18">X46+0.017</f>
        <v>2.507</v>
      </c>
      <c r="Z46" s="96"/>
      <c r="AA46" s="96"/>
      <c r="AB46" s="96"/>
      <c r="AC46" s="96"/>
      <c r="AD46" s="96">
        <f t="shared" si="4"/>
        <v>1.252</v>
      </c>
      <c r="AE46" s="95">
        <v>1.252</v>
      </c>
      <c r="AF46" s="99">
        <f t="shared" ref="AF46:AF91" si="19">AE46+0.01</f>
        <v>1.262</v>
      </c>
      <c r="AG46" s="103">
        <f t="shared" ref="AG46:AG56" si="20">AG47-AD47</f>
        <v>1.277</v>
      </c>
      <c r="AH46" s="103">
        <f t="shared" ref="AH46:AH70" si="21">AH47-AD47</f>
        <v>1.287</v>
      </c>
      <c r="AI46" s="87"/>
      <c r="AK46" s="87"/>
    </row>
    <row r="47">
      <c r="A47" s="97">
        <f t="shared" si="3"/>
        <v>43</v>
      </c>
      <c r="B47" s="92">
        <v>119.0</v>
      </c>
      <c r="C47" s="92">
        <v>30000.0</v>
      </c>
      <c r="D47" s="66">
        <f t="shared" si="1"/>
        <v>2024</v>
      </c>
      <c r="E47" s="66">
        <f t="shared" si="2"/>
        <v>383800</v>
      </c>
      <c r="F47" s="96">
        <f t="shared" si="12"/>
        <v>0.076</v>
      </c>
      <c r="G47" s="99">
        <f t="shared" ref="G47:G49" si="22">H47-0.01</f>
        <v>3.601</v>
      </c>
      <c r="H47" s="95">
        <v>3.611</v>
      </c>
      <c r="I47" s="99">
        <f t="shared" si="15"/>
        <v>3.631</v>
      </c>
      <c r="J47" s="94"/>
      <c r="K47" s="94"/>
      <c r="L47" s="94"/>
      <c r="M47" s="94"/>
      <c r="N47" s="96"/>
      <c r="O47" s="96"/>
      <c r="P47" s="96"/>
      <c r="Q47" s="96">
        <f t="shared" si="16"/>
        <v>0.05</v>
      </c>
      <c r="R47" s="94"/>
      <c r="S47" s="94"/>
      <c r="T47" s="94"/>
      <c r="U47" s="94"/>
      <c r="V47" s="94">
        <f t="shared" ref="V47:V55" si="23">W47-W46</f>
        <v>0.05</v>
      </c>
      <c r="W47" s="94">
        <v>2.53</v>
      </c>
      <c r="X47" s="94">
        <f t="shared" si="17"/>
        <v>2.54</v>
      </c>
      <c r="Y47" s="96">
        <f t="shared" si="18"/>
        <v>2.557</v>
      </c>
      <c r="Z47" s="96"/>
      <c r="AA47" s="96"/>
      <c r="AB47" s="96"/>
      <c r="AC47" s="96"/>
      <c r="AD47" s="96">
        <f t="shared" si="4"/>
        <v>0.005</v>
      </c>
      <c r="AE47" s="99">
        <f t="shared" ref="AE47:AE62" si="24">AE46+0.005</f>
        <v>1.257</v>
      </c>
      <c r="AF47" s="99">
        <f t="shared" si="19"/>
        <v>1.267</v>
      </c>
      <c r="AG47" s="103">
        <f t="shared" si="20"/>
        <v>1.282</v>
      </c>
      <c r="AH47" s="103">
        <f t="shared" si="21"/>
        <v>1.292</v>
      </c>
      <c r="AI47" s="87"/>
      <c r="AK47" s="87"/>
    </row>
    <row r="48">
      <c r="A48" s="97">
        <f t="shared" si="3"/>
        <v>44</v>
      </c>
      <c r="B48" s="92">
        <v>119.0</v>
      </c>
      <c r="C48" s="92">
        <v>30000.0</v>
      </c>
      <c r="D48" s="66">
        <f t="shared" si="1"/>
        <v>2143</v>
      </c>
      <c r="E48" s="66">
        <f t="shared" si="2"/>
        <v>413800</v>
      </c>
      <c r="F48" s="96">
        <f t="shared" si="12"/>
        <v>0.076</v>
      </c>
      <c r="G48" s="99">
        <f t="shared" si="22"/>
        <v>3.677</v>
      </c>
      <c r="H48" s="95">
        <v>3.687</v>
      </c>
      <c r="I48" s="99">
        <f t="shared" si="15"/>
        <v>3.707</v>
      </c>
      <c r="J48" s="94"/>
      <c r="K48" s="94"/>
      <c r="L48" s="94"/>
      <c r="M48" s="94"/>
      <c r="N48" s="96"/>
      <c r="O48" s="96"/>
      <c r="P48" s="96"/>
      <c r="Q48" s="96">
        <f t="shared" si="16"/>
        <v>0.05</v>
      </c>
      <c r="R48" s="94"/>
      <c r="S48" s="94"/>
      <c r="T48" s="94"/>
      <c r="U48" s="94"/>
      <c r="V48" s="94">
        <f t="shared" si="23"/>
        <v>0.05</v>
      </c>
      <c r="W48" s="94">
        <v>2.58</v>
      </c>
      <c r="X48" s="94">
        <f t="shared" si="17"/>
        <v>2.59</v>
      </c>
      <c r="Y48" s="96">
        <f t="shared" si="18"/>
        <v>2.607</v>
      </c>
      <c r="Z48" s="96"/>
      <c r="AA48" s="96"/>
      <c r="AB48" s="96"/>
      <c r="AC48" s="96"/>
      <c r="AD48" s="96">
        <f t="shared" si="4"/>
        <v>0.005</v>
      </c>
      <c r="AE48" s="99">
        <f t="shared" si="24"/>
        <v>1.262</v>
      </c>
      <c r="AF48" s="99">
        <f t="shared" si="19"/>
        <v>1.272</v>
      </c>
      <c r="AG48" s="103">
        <f t="shared" si="20"/>
        <v>1.287</v>
      </c>
      <c r="AH48" s="103">
        <f t="shared" si="21"/>
        <v>1.297</v>
      </c>
      <c r="AI48" s="87"/>
      <c r="AK48" s="87"/>
    </row>
    <row r="49">
      <c r="A49" s="97">
        <f t="shared" si="3"/>
        <v>45</v>
      </c>
      <c r="B49" s="92">
        <v>119.0</v>
      </c>
      <c r="C49" s="92">
        <v>30000.0</v>
      </c>
      <c r="D49" s="66">
        <f t="shared" si="1"/>
        <v>2262</v>
      </c>
      <c r="E49" s="66">
        <f t="shared" si="2"/>
        <v>443800</v>
      </c>
      <c r="F49" s="96">
        <f t="shared" si="12"/>
        <v>0.077</v>
      </c>
      <c r="G49" s="99">
        <f t="shared" si="22"/>
        <v>3.754</v>
      </c>
      <c r="H49" s="95">
        <v>3.764</v>
      </c>
      <c r="I49" s="99">
        <f t="shared" si="15"/>
        <v>3.784</v>
      </c>
      <c r="J49" s="94"/>
      <c r="K49" s="94"/>
      <c r="L49" s="94"/>
      <c r="M49" s="94"/>
      <c r="N49" s="96"/>
      <c r="O49" s="96"/>
      <c r="P49" s="96"/>
      <c r="Q49" s="96">
        <f t="shared" si="16"/>
        <v>0.05</v>
      </c>
      <c r="R49" s="96"/>
      <c r="S49" s="96"/>
      <c r="T49" s="96"/>
      <c r="U49" s="96"/>
      <c r="V49" s="94">
        <f t="shared" si="23"/>
        <v>0.05</v>
      </c>
      <c r="W49" s="94">
        <v>2.63</v>
      </c>
      <c r="X49" s="94">
        <f t="shared" si="17"/>
        <v>2.64</v>
      </c>
      <c r="Y49" s="96">
        <f t="shared" si="18"/>
        <v>2.657</v>
      </c>
      <c r="Z49" s="96"/>
      <c r="AA49" s="96"/>
      <c r="AB49" s="96"/>
      <c r="AC49" s="96"/>
      <c r="AD49" s="96">
        <f t="shared" si="4"/>
        <v>0.005</v>
      </c>
      <c r="AE49" s="99">
        <f t="shared" si="24"/>
        <v>1.267</v>
      </c>
      <c r="AF49" s="99">
        <f t="shared" si="19"/>
        <v>1.277</v>
      </c>
      <c r="AG49" s="103">
        <f t="shared" si="20"/>
        <v>1.292</v>
      </c>
      <c r="AH49" s="103">
        <f t="shared" si="21"/>
        <v>1.302</v>
      </c>
      <c r="AI49" s="87"/>
      <c r="AK49" s="87"/>
    </row>
    <row r="50">
      <c r="A50" s="97">
        <f t="shared" si="3"/>
        <v>46</v>
      </c>
      <c r="B50" s="92">
        <v>119.0</v>
      </c>
      <c r="C50" s="92">
        <v>30000.0</v>
      </c>
      <c r="D50" s="66">
        <f t="shared" si="1"/>
        <v>2381</v>
      </c>
      <c r="E50" s="66">
        <f t="shared" si="2"/>
        <v>473800</v>
      </c>
      <c r="F50" s="98">
        <f t="shared" si="12"/>
        <v>0.392</v>
      </c>
      <c r="G50" s="95">
        <v>4.146</v>
      </c>
      <c r="H50" s="99">
        <f t="shared" ref="H50:H53" si="25">G50+0.01</f>
        <v>4.156</v>
      </c>
      <c r="I50" s="99">
        <f t="shared" si="15"/>
        <v>4.176</v>
      </c>
      <c r="J50" s="94"/>
      <c r="K50" s="94"/>
      <c r="L50" s="94"/>
      <c r="M50" s="94"/>
      <c r="N50" s="96"/>
      <c r="O50" s="96"/>
      <c r="P50" s="96"/>
      <c r="Q50" s="96">
        <f t="shared" si="16"/>
        <v>0.05</v>
      </c>
      <c r="R50" s="96"/>
      <c r="S50" s="96"/>
      <c r="T50" s="96"/>
      <c r="U50" s="96"/>
      <c r="V50" s="94">
        <f t="shared" si="23"/>
        <v>0.05</v>
      </c>
      <c r="W50" s="94">
        <v>2.68</v>
      </c>
      <c r="X50" s="94">
        <f t="shared" si="17"/>
        <v>2.69</v>
      </c>
      <c r="Y50" s="96">
        <f t="shared" si="18"/>
        <v>2.707</v>
      </c>
      <c r="Z50" s="96"/>
      <c r="AA50" s="96"/>
      <c r="AB50" s="96"/>
      <c r="AC50" s="96"/>
      <c r="AD50" s="96">
        <f t="shared" si="4"/>
        <v>0.005</v>
      </c>
      <c r="AE50" s="99">
        <f t="shared" si="24"/>
        <v>1.272</v>
      </c>
      <c r="AF50" s="99">
        <f t="shared" si="19"/>
        <v>1.282</v>
      </c>
      <c r="AG50" s="103">
        <f t="shared" si="20"/>
        <v>1.297</v>
      </c>
      <c r="AH50" s="103">
        <f t="shared" si="21"/>
        <v>1.307</v>
      </c>
      <c r="AI50" s="87"/>
      <c r="AK50" s="87"/>
    </row>
    <row r="51">
      <c r="A51" s="97">
        <f t="shared" si="3"/>
        <v>47</v>
      </c>
      <c r="B51" s="92">
        <v>119.0</v>
      </c>
      <c r="C51" s="92">
        <v>30000.0</v>
      </c>
      <c r="D51" s="66">
        <f t="shared" si="1"/>
        <v>2500</v>
      </c>
      <c r="E51" s="66">
        <f t="shared" si="2"/>
        <v>503800</v>
      </c>
      <c r="F51" s="96">
        <f t="shared" si="12"/>
        <v>0.085</v>
      </c>
      <c r="G51" s="95">
        <v>4.231</v>
      </c>
      <c r="H51" s="99">
        <f t="shared" si="25"/>
        <v>4.241</v>
      </c>
      <c r="I51" s="99">
        <f t="shared" si="15"/>
        <v>4.261</v>
      </c>
      <c r="J51" s="94"/>
      <c r="K51" s="94"/>
      <c r="L51" s="94"/>
      <c r="M51" s="94"/>
      <c r="N51" s="96"/>
      <c r="O51" s="96"/>
      <c r="P51" s="96"/>
      <c r="Q51" s="96">
        <f t="shared" si="16"/>
        <v>0.05</v>
      </c>
      <c r="R51" s="96"/>
      <c r="S51" s="96"/>
      <c r="T51" s="96"/>
      <c r="U51" s="96"/>
      <c r="V51" s="94">
        <f t="shared" si="23"/>
        <v>0.05</v>
      </c>
      <c r="W51" s="94">
        <v>2.73</v>
      </c>
      <c r="X51" s="94">
        <f t="shared" si="17"/>
        <v>2.74</v>
      </c>
      <c r="Y51" s="96">
        <f t="shared" si="18"/>
        <v>2.757</v>
      </c>
      <c r="Z51" s="96"/>
      <c r="AA51" s="96"/>
      <c r="AB51" s="96"/>
      <c r="AC51" s="96"/>
      <c r="AD51" s="96">
        <f t="shared" si="4"/>
        <v>0.005</v>
      </c>
      <c r="AE51" s="99">
        <f t="shared" si="24"/>
        <v>1.277</v>
      </c>
      <c r="AF51" s="99">
        <f t="shared" si="19"/>
        <v>1.287</v>
      </c>
      <c r="AG51" s="103">
        <f t="shared" si="20"/>
        <v>1.302</v>
      </c>
      <c r="AH51" s="103">
        <f t="shared" si="21"/>
        <v>1.312</v>
      </c>
      <c r="AI51" s="87"/>
      <c r="AK51" s="87"/>
    </row>
    <row r="52">
      <c r="A52" s="97">
        <f t="shared" si="3"/>
        <v>48</v>
      </c>
      <c r="B52" s="92">
        <v>119.0</v>
      </c>
      <c r="C52" s="92">
        <v>30000.0</v>
      </c>
      <c r="D52" s="66">
        <f t="shared" si="1"/>
        <v>2619</v>
      </c>
      <c r="E52" s="66">
        <f t="shared" si="2"/>
        <v>533800</v>
      </c>
      <c r="F52" s="96">
        <f t="shared" si="12"/>
        <v>0.085</v>
      </c>
      <c r="G52" s="95">
        <v>4.316</v>
      </c>
      <c r="H52" s="99">
        <f t="shared" si="25"/>
        <v>4.326</v>
      </c>
      <c r="I52" s="99">
        <f t="shared" si="15"/>
        <v>4.346</v>
      </c>
      <c r="J52" s="94"/>
      <c r="K52" s="94"/>
      <c r="L52" s="94"/>
      <c r="M52" s="94"/>
      <c r="N52" s="96"/>
      <c r="O52" s="96"/>
      <c r="P52" s="96"/>
      <c r="Q52" s="96">
        <f t="shared" si="16"/>
        <v>0.05</v>
      </c>
      <c r="R52" s="96"/>
      <c r="S52" s="96"/>
      <c r="T52" s="96"/>
      <c r="U52" s="96"/>
      <c r="V52" s="94">
        <f t="shared" si="23"/>
        <v>0.05</v>
      </c>
      <c r="W52" s="94">
        <v>2.78</v>
      </c>
      <c r="X52" s="94">
        <f t="shared" si="17"/>
        <v>2.79</v>
      </c>
      <c r="Y52" s="96">
        <f t="shared" si="18"/>
        <v>2.807</v>
      </c>
      <c r="Z52" s="96"/>
      <c r="AA52" s="96"/>
      <c r="AB52" s="96"/>
      <c r="AC52" s="96"/>
      <c r="AD52" s="96">
        <f t="shared" si="4"/>
        <v>0.005</v>
      </c>
      <c r="AE52" s="99">
        <f t="shared" si="24"/>
        <v>1.282</v>
      </c>
      <c r="AF52" s="99">
        <f t="shared" si="19"/>
        <v>1.292</v>
      </c>
      <c r="AG52" s="103">
        <f t="shared" si="20"/>
        <v>1.307</v>
      </c>
      <c r="AH52" s="103">
        <f t="shared" si="21"/>
        <v>1.317</v>
      </c>
      <c r="AI52" s="87"/>
      <c r="AK52" s="87"/>
    </row>
    <row r="53">
      <c r="A53" s="97">
        <f t="shared" si="3"/>
        <v>49</v>
      </c>
      <c r="B53" s="92">
        <v>119.0</v>
      </c>
      <c r="C53" s="92">
        <v>75000.0</v>
      </c>
      <c r="D53" s="66">
        <f t="shared" si="1"/>
        <v>2738</v>
      </c>
      <c r="E53" s="66">
        <f t="shared" si="2"/>
        <v>608800</v>
      </c>
      <c r="F53" s="96">
        <f t="shared" si="12"/>
        <v>0.085</v>
      </c>
      <c r="G53" s="95">
        <v>4.401</v>
      </c>
      <c r="H53" s="99">
        <f t="shared" si="25"/>
        <v>4.411</v>
      </c>
      <c r="I53" s="99">
        <f t="shared" si="15"/>
        <v>4.431</v>
      </c>
      <c r="J53" s="96"/>
      <c r="K53" s="96"/>
      <c r="L53" s="96"/>
      <c r="M53" s="96"/>
      <c r="N53" s="96"/>
      <c r="O53" s="95">
        <v>4.42</v>
      </c>
      <c r="P53" s="96"/>
      <c r="Q53" s="96">
        <f t="shared" si="16"/>
        <v>0.05</v>
      </c>
      <c r="R53" s="96"/>
      <c r="S53" s="96"/>
      <c r="T53" s="96"/>
      <c r="U53" s="96"/>
      <c r="V53" s="94">
        <f t="shared" si="23"/>
        <v>0.05</v>
      </c>
      <c r="W53" s="94">
        <v>2.83</v>
      </c>
      <c r="X53" s="94">
        <f t="shared" si="17"/>
        <v>2.84</v>
      </c>
      <c r="Y53" s="96">
        <f t="shared" si="18"/>
        <v>2.857</v>
      </c>
      <c r="Z53" s="96"/>
      <c r="AA53" s="96"/>
      <c r="AB53" s="96"/>
      <c r="AC53" s="96"/>
      <c r="AD53" s="96">
        <f t="shared" si="4"/>
        <v>0.005</v>
      </c>
      <c r="AE53" s="99">
        <f t="shared" si="24"/>
        <v>1.287</v>
      </c>
      <c r="AF53" s="99">
        <f t="shared" si="19"/>
        <v>1.297</v>
      </c>
      <c r="AG53" s="103">
        <f t="shared" si="20"/>
        <v>1.312</v>
      </c>
      <c r="AH53" s="103">
        <f t="shared" si="21"/>
        <v>1.322</v>
      </c>
      <c r="AI53" s="87"/>
      <c r="AK53" s="87"/>
    </row>
    <row r="54">
      <c r="A54" s="97">
        <f t="shared" si="3"/>
        <v>50</v>
      </c>
      <c r="B54" s="92">
        <v>178.0</v>
      </c>
      <c r="C54" s="92">
        <v>75000.0</v>
      </c>
      <c r="D54" s="66">
        <f t="shared" si="1"/>
        <v>2916</v>
      </c>
      <c r="E54" s="66">
        <f t="shared" si="2"/>
        <v>683800</v>
      </c>
      <c r="F54" s="100">
        <f t="shared" si="12"/>
        <v>0.09</v>
      </c>
      <c r="G54" s="95">
        <v>4.491</v>
      </c>
      <c r="H54" s="99">
        <f t="shared" ref="H54:H65" si="26">I54-0.02</f>
        <v>4.501</v>
      </c>
      <c r="I54" s="99">
        <f t="shared" ref="I54:I55" si="27">I55-F56</f>
        <v>4.521</v>
      </c>
      <c r="J54" s="96"/>
      <c r="K54" s="96"/>
      <c r="L54" s="96"/>
      <c r="M54" s="96"/>
      <c r="N54" s="96"/>
      <c r="O54" s="96"/>
      <c r="P54" s="96"/>
      <c r="Q54" s="96">
        <f t="shared" si="16"/>
        <v>0.05</v>
      </c>
      <c r="R54" s="96"/>
      <c r="S54" s="96"/>
      <c r="T54" s="96"/>
      <c r="U54" s="96"/>
      <c r="V54" s="105">
        <f t="shared" si="23"/>
        <v>0.06</v>
      </c>
      <c r="W54" s="94">
        <v>2.89</v>
      </c>
      <c r="X54" s="94">
        <f t="shared" si="17"/>
        <v>2.9</v>
      </c>
      <c r="Y54" s="96">
        <f t="shared" si="18"/>
        <v>2.917</v>
      </c>
      <c r="Z54" s="96"/>
      <c r="AA54" s="96"/>
      <c r="AB54" s="96"/>
      <c r="AC54" s="96"/>
      <c r="AD54" s="96">
        <f t="shared" si="4"/>
        <v>0.005</v>
      </c>
      <c r="AE54" s="99">
        <f t="shared" si="24"/>
        <v>1.292</v>
      </c>
      <c r="AF54" s="99">
        <f t="shared" si="19"/>
        <v>1.302</v>
      </c>
      <c r="AG54" s="103">
        <f t="shared" si="20"/>
        <v>1.317</v>
      </c>
      <c r="AH54" s="103">
        <f t="shared" si="21"/>
        <v>1.327</v>
      </c>
      <c r="AI54" s="87"/>
      <c r="AK54" s="87"/>
    </row>
    <row r="55">
      <c r="A55" s="97">
        <f t="shared" si="3"/>
        <v>51</v>
      </c>
      <c r="B55" s="92">
        <v>178.0</v>
      </c>
      <c r="C55" s="92">
        <v>75000.0</v>
      </c>
      <c r="D55" s="66">
        <f t="shared" si="1"/>
        <v>3094</v>
      </c>
      <c r="E55" s="66">
        <f t="shared" si="2"/>
        <v>758800</v>
      </c>
      <c r="F55" s="96">
        <f t="shared" ref="F55:F79" si="28">I55-I54</f>
        <v>0.09</v>
      </c>
      <c r="G55" s="95">
        <v>4.581</v>
      </c>
      <c r="H55" s="99">
        <f t="shared" si="26"/>
        <v>4.591</v>
      </c>
      <c r="I55" s="99">
        <f t="shared" si="27"/>
        <v>4.611</v>
      </c>
      <c r="J55" s="96"/>
      <c r="K55" s="96"/>
      <c r="L55" s="96"/>
      <c r="M55" s="96"/>
      <c r="N55" s="96"/>
      <c r="O55" s="96"/>
      <c r="P55" s="96"/>
      <c r="Q55" s="96">
        <f t="shared" si="16"/>
        <v>0.05</v>
      </c>
      <c r="R55" s="96"/>
      <c r="S55" s="96"/>
      <c r="T55" s="96"/>
      <c r="U55" s="96"/>
      <c r="V55" s="94">
        <f t="shared" si="23"/>
        <v>0.06</v>
      </c>
      <c r="W55" s="96">
        <f t="shared" ref="W55:W58" si="29">W54+V54</f>
        <v>2.95</v>
      </c>
      <c r="X55" s="94">
        <f t="shared" si="17"/>
        <v>2.96</v>
      </c>
      <c r="Y55" s="94">
        <f t="shared" ref="Y55:Y58" si="30">Y54+V54</f>
        <v>2.977</v>
      </c>
      <c r="Z55" s="94"/>
      <c r="AA55" s="94"/>
      <c r="AB55" s="94"/>
      <c r="AC55" s="94"/>
      <c r="AD55" s="96">
        <f t="shared" si="4"/>
        <v>0.005</v>
      </c>
      <c r="AE55" s="99">
        <f t="shared" si="24"/>
        <v>1.297</v>
      </c>
      <c r="AF55" s="99">
        <f t="shared" si="19"/>
        <v>1.307</v>
      </c>
      <c r="AG55" s="103">
        <f t="shared" si="20"/>
        <v>1.322</v>
      </c>
      <c r="AH55" s="103">
        <f t="shared" si="21"/>
        <v>1.332</v>
      </c>
      <c r="AI55" s="87"/>
      <c r="AK55" s="87"/>
    </row>
    <row r="56">
      <c r="A56" s="97">
        <f t="shared" si="3"/>
        <v>52</v>
      </c>
      <c r="B56" s="92">
        <v>178.0</v>
      </c>
      <c r="C56" s="92">
        <v>75000.0</v>
      </c>
      <c r="D56" s="66">
        <f t="shared" si="1"/>
        <v>3272</v>
      </c>
      <c r="E56" s="66">
        <f t="shared" si="2"/>
        <v>833800</v>
      </c>
      <c r="F56" s="96">
        <f t="shared" si="28"/>
        <v>0.09</v>
      </c>
      <c r="G56" s="95">
        <v>4.671</v>
      </c>
      <c r="H56" s="99">
        <f t="shared" si="26"/>
        <v>4.681</v>
      </c>
      <c r="I56" s="95">
        <v>4.701</v>
      </c>
      <c r="J56" s="96"/>
      <c r="K56" s="96"/>
      <c r="L56" s="96"/>
      <c r="M56" s="96"/>
      <c r="N56" s="96"/>
      <c r="O56" s="96"/>
      <c r="P56" s="96"/>
      <c r="Q56" s="96">
        <f t="shared" si="16"/>
        <v>0.05</v>
      </c>
      <c r="R56" s="96"/>
      <c r="S56" s="96"/>
      <c r="T56" s="96"/>
      <c r="U56" s="96"/>
      <c r="V56" s="96">
        <f t="shared" ref="V56:V84" si="31">Y56-Y55</f>
        <v>0.06</v>
      </c>
      <c r="W56" s="96">
        <f t="shared" si="29"/>
        <v>3.01</v>
      </c>
      <c r="X56" s="94">
        <f t="shared" si="17"/>
        <v>3.02</v>
      </c>
      <c r="Y56" s="94">
        <f t="shared" si="30"/>
        <v>3.037</v>
      </c>
      <c r="Z56" s="94"/>
      <c r="AA56" s="94"/>
      <c r="AB56" s="94"/>
      <c r="AC56" s="94"/>
      <c r="AD56" s="96">
        <f t="shared" si="4"/>
        <v>0.005</v>
      </c>
      <c r="AE56" s="99">
        <f t="shared" si="24"/>
        <v>1.302</v>
      </c>
      <c r="AF56" s="99">
        <f t="shared" si="19"/>
        <v>1.312</v>
      </c>
      <c r="AG56" s="103">
        <f t="shared" si="20"/>
        <v>1.327</v>
      </c>
      <c r="AH56" s="103">
        <f t="shared" si="21"/>
        <v>1.337</v>
      </c>
      <c r="AI56" s="87"/>
      <c r="AK56" s="87"/>
    </row>
    <row r="57">
      <c r="A57" s="97">
        <f t="shared" si="3"/>
        <v>53</v>
      </c>
      <c r="B57" s="92">
        <v>178.0</v>
      </c>
      <c r="C57" s="92">
        <v>75000.0</v>
      </c>
      <c r="D57" s="66">
        <f t="shared" si="1"/>
        <v>3450</v>
      </c>
      <c r="E57" s="66">
        <f t="shared" si="2"/>
        <v>908800</v>
      </c>
      <c r="F57" s="96">
        <f t="shared" si="28"/>
        <v>0.09</v>
      </c>
      <c r="G57" s="99">
        <f t="shared" ref="G57:G65" si="32">H57-0.01</f>
        <v>4.761</v>
      </c>
      <c r="H57" s="99">
        <f t="shared" si="26"/>
        <v>4.771</v>
      </c>
      <c r="I57" s="95">
        <v>4.791</v>
      </c>
      <c r="J57" s="95"/>
      <c r="K57" s="95"/>
      <c r="L57" s="95"/>
      <c r="M57" s="95"/>
      <c r="N57" s="96"/>
      <c r="O57" s="95">
        <v>4.76</v>
      </c>
      <c r="P57" s="95">
        <v>4.791</v>
      </c>
      <c r="Q57" s="99">
        <f t="shared" si="16"/>
        <v>4.841</v>
      </c>
      <c r="R57" s="95">
        <v>4.886</v>
      </c>
      <c r="S57" s="95">
        <f t="shared" ref="S57:S59" si="33">R57+0.05</f>
        <v>4.936</v>
      </c>
      <c r="T57" s="95"/>
      <c r="U57" s="95"/>
      <c r="V57" s="96">
        <f t="shared" si="31"/>
        <v>0.06</v>
      </c>
      <c r="W57" s="96">
        <f t="shared" si="29"/>
        <v>3.07</v>
      </c>
      <c r="X57" s="94">
        <f t="shared" si="17"/>
        <v>3.08</v>
      </c>
      <c r="Y57" s="94">
        <f t="shared" si="30"/>
        <v>3.097</v>
      </c>
      <c r="Z57" s="94"/>
      <c r="AA57" s="94"/>
      <c r="AB57" s="94"/>
      <c r="AC57" s="94"/>
      <c r="AD57" s="96">
        <f t="shared" si="4"/>
        <v>0.005</v>
      </c>
      <c r="AE57" s="99">
        <f t="shared" si="24"/>
        <v>1.307</v>
      </c>
      <c r="AF57" s="99">
        <f t="shared" si="19"/>
        <v>1.317</v>
      </c>
      <c r="AG57" s="102">
        <v>1.332</v>
      </c>
      <c r="AH57" s="103">
        <f t="shared" si="21"/>
        <v>1.342</v>
      </c>
      <c r="AI57" s="87"/>
      <c r="AK57" s="87"/>
    </row>
    <row r="58">
      <c r="A58" s="97">
        <f t="shared" si="3"/>
        <v>54</v>
      </c>
      <c r="B58" s="92">
        <v>178.0</v>
      </c>
      <c r="C58" s="92">
        <v>75000.0</v>
      </c>
      <c r="D58" s="66">
        <f t="shared" si="1"/>
        <v>3628</v>
      </c>
      <c r="E58" s="66">
        <f t="shared" si="2"/>
        <v>983800</v>
      </c>
      <c r="F58" s="96">
        <f t="shared" si="28"/>
        <v>0.09</v>
      </c>
      <c r="G58" s="99">
        <f t="shared" si="32"/>
        <v>4.851</v>
      </c>
      <c r="H58" s="99">
        <f t="shared" si="26"/>
        <v>4.861</v>
      </c>
      <c r="I58" s="95">
        <v>4.881</v>
      </c>
      <c r="J58" s="95"/>
      <c r="K58" s="95"/>
      <c r="L58" s="95"/>
      <c r="M58" s="95"/>
      <c r="N58" s="96">
        <f t="shared" ref="N58:N64" si="34">P58-P57</f>
        <v>0.085</v>
      </c>
      <c r="O58" s="95">
        <v>4.845</v>
      </c>
      <c r="P58" s="95">
        <v>4.876</v>
      </c>
      <c r="Q58" s="95">
        <v>4.926</v>
      </c>
      <c r="R58" s="95">
        <v>4.971</v>
      </c>
      <c r="S58" s="95">
        <f t="shared" si="33"/>
        <v>5.021</v>
      </c>
      <c r="T58" s="95"/>
      <c r="U58" s="95"/>
      <c r="V58" s="96">
        <f t="shared" si="31"/>
        <v>0.06</v>
      </c>
      <c r="W58" s="96">
        <f t="shared" si="29"/>
        <v>3.13</v>
      </c>
      <c r="X58" s="94">
        <f t="shared" si="17"/>
        <v>3.14</v>
      </c>
      <c r="Y58" s="94">
        <f t="shared" si="30"/>
        <v>3.157</v>
      </c>
      <c r="Z58" s="94"/>
      <c r="AA58" s="94"/>
      <c r="AB58" s="94"/>
      <c r="AC58" s="94"/>
      <c r="AD58" s="96">
        <f t="shared" si="4"/>
        <v>0.005</v>
      </c>
      <c r="AE58" s="99">
        <f t="shared" si="24"/>
        <v>1.312</v>
      </c>
      <c r="AF58" s="99">
        <f t="shared" si="19"/>
        <v>1.322</v>
      </c>
      <c r="AG58" s="102">
        <v>1.337</v>
      </c>
      <c r="AH58" s="103">
        <f t="shared" si="21"/>
        <v>1.347</v>
      </c>
      <c r="AI58" s="87"/>
      <c r="AK58" s="87"/>
    </row>
    <row r="59">
      <c r="A59" s="97">
        <f t="shared" si="3"/>
        <v>55</v>
      </c>
      <c r="B59" s="92">
        <v>178.0</v>
      </c>
      <c r="C59" s="92">
        <v>75000.0</v>
      </c>
      <c r="D59" s="66">
        <f t="shared" si="1"/>
        <v>3806</v>
      </c>
      <c r="E59" s="66">
        <f t="shared" si="2"/>
        <v>1058800</v>
      </c>
      <c r="F59" s="96">
        <f t="shared" si="28"/>
        <v>0.09</v>
      </c>
      <c r="G59" s="99">
        <f t="shared" si="32"/>
        <v>4.941</v>
      </c>
      <c r="H59" s="99">
        <f t="shared" si="26"/>
        <v>4.951</v>
      </c>
      <c r="I59" s="95">
        <v>4.971</v>
      </c>
      <c r="J59" s="95"/>
      <c r="K59" s="95"/>
      <c r="L59" s="95"/>
      <c r="M59" s="95"/>
      <c r="N59" s="96">
        <f t="shared" si="34"/>
        <v>0.085</v>
      </c>
      <c r="O59" s="99">
        <f t="shared" ref="O59:O89" si="35">P59-0.031</f>
        <v>4.93</v>
      </c>
      <c r="P59" s="99">
        <f>P58+N58</f>
        <v>4.961</v>
      </c>
      <c r="Q59" s="99">
        <f t="shared" ref="Q59:Q89" si="36">R59-0.045</f>
        <v>5.011</v>
      </c>
      <c r="R59" s="95">
        <v>5.056</v>
      </c>
      <c r="S59" s="95">
        <f t="shared" si="33"/>
        <v>5.106</v>
      </c>
      <c r="T59" s="95"/>
      <c r="U59" s="95"/>
      <c r="V59" s="96">
        <f t="shared" si="31"/>
        <v>0.06</v>
      </c>
      <c r="W59" s="94">
        <v>3.19</v>
      </c>
      <c r="X59" s="94">
        <v>3.2</v>
      </c>
      <c r="Y59" s="94">
        <v>3.217</v>
      </c>
      <c r="Z59" s="94"/>
      <c r="AA59" s="94"/>
      <c r="AB59" s="94"/>
      <c r="AC59" s="94"/>
      <c r="AD59" s="96">
        <f t="shared" si="4"/>
        <v>0.005</v>
      </c>
      <c r="AE59" s="99">
        <f t="shared" si="24"/>
        <v>1.317</v>
      </c>
      <c r="AF59" s="99">
        <f t="shared" si="19"/>
        <v>1.327</v>
      </c>
      <c r="AG59" s="102">
        <v>1.342</v>
      </c>
      <c r="AH59" s="103">
        <f t="shared" si="21"/>
        <v>1.352</v>
      </c>
      <c r="AI59" s="87"/>
      <c r="AK59" s="87"/>
    </row>
    <row r="60">
      <c r="A60" s="97">
        <f t="shared" si="3"/>
        <v>56</v>
      </c>
      <c r="B60" s="92">
        <v>178.0</v>
      </c>
      <c r="C60" s="92">
        <v>75000.0</v>
      </c>
      <c r="D60" s="66">
        <f t="shared" si="1"/>
        <v>3984</v>
      </c>
      <c r="E60" s="66">
        <f t="shared" si="2"/>
        <v>1133800</v>
      </c>
      <c r="F60" s="96">
        <f t="shared" si="28"/>
        <v>0.09</v>
      </c>
      <c r="G60" s="99">
        <f t="shared" si="32"/>
        <v>5.031</v>
      </c>
      <c r="H60" s="99">
        <f t="shared" si="26"/>
        <v>5.041</v>
      </c>
      <c r="I60" s="95">
        <v>5.061</v>
      </c>
      <c r="J60" s="95"/>
      <c r="K60" s="95"/>
      <c r="L60" s="95"/>
      <c r="M60" s="95"/>
      <c r="N60" s="96">
        <f t="shared" si="34"/>
        <v>0.085</v>
      </c>
      <c r="O60" s="99">
        <f t="shared" si="35"/>
        <v>5.015</v>
      </c>
      <c r="P60" s="95">
        <v>5.046</v>
      </c>
      <c r="Q60" s="99">
        <f t="shared" si="36"/>
        <v>5.096</v>
      </c>
      <c r="R60" s="95">
        <v>5.141</v>
      </c>
      <c r="S60" s="95">
        <v>5.191</v>
      </c>
      <c r="T60" s="95"/>
      <c r="U60" s="95"/>
      <c r="V60" s="96">
        <f t="shared" si="31"/>
        <v>0.13</v>
      </c>
      <c r="W60" s="96">
        <f t="shared" ref="W60:W63" si="37">W59+V60</f>
        <v>3.32</v>
      </c>
      <c r="X60" s="96">
        <f t="shared" ref="X60:X63" si="38">X59+V60</f>
        <v>3.33</v>
      </c>
      <c r="Y60" s="95">
        <v>3.347</v>
      </c>
      <c r="Z60" s="94"/>
      <c r="AA60" s="94"/>
      <c r="AB60" s="94"/>
      <c r="AC60" s="94"/>
      <c r="AD60" s="96">
        <f t="shared" si="4"/>
        <v>0.005</v>
      </c>
      <c r="AE60" s="99">
        <f t="shared" si="24"/>
        <v>1.322</v>
      </c>
      <c r="AF60" s="99">
        <f t="shared" si="19"/>
        <v>1.332</v>
      </c>
      <c r="AG60" s="102">
        <v>1.347</v>
      </c>
      <c r="AH60" s="103">
        <f t="shared" si="21"/>
        <v>1.357</v>
      </c>
      <c r="AI60" s="87"/>
      <c r="AK60" s="87"/>
    </row>
    <row r="61">
      <c r="A61" s="97">
        <f t="shared" si="3"/>
        <v>57</v>
      </c>
      <c r="B61" s="92">
        <v>178.0</v>
      </c>
      <c r="C61" s="92">
        <v>75000.0</v>
      </c>
      <c r="D61" s="66">
        <f t="shared" si="1"/>
        <v>4162</v>
      </c>
      <c r="E61" s="66">
        <f t="shared" si="2"/>
        <v>1208800</v>
      </c>
      <c r="F61" s="96">
        <f t="shared" si="28"/>
        <v>0.09</v>
      </c>
      <c r="G61" s="99">
        <f t="shared" si="32"/>
        <v>5.121</v>
      </c>
      <c r="H61" s="99">
        <f t="shared" si="26"/>
        <v>5.131</v>
      </c>
      <c r="I61" s="95">
        <v>5.151</v>
      </c>
      <c r="J61" s="95"/>
      <c r="K61" s="95"/>
      <c r="L61" s="95"/>
      <c r="M61" s="95"/>
      <c r="N61" s="96">
        <f t="shared" si="34"/>
        <v>0.085</v>
      </c>
      <c r="O61" s="99">
        <f t="shared" si="35"/>
        <v>5.1</v>
      </c>
      <c r="P61" s="95">
        <v>5.131</v>
      </c>
      <c r="Q61" s="99">
        <f t="shared" si="36"/>
        <v>5.181</v>
      </c>
      <c r="R61" s="99">
        <f t="shared" ref="R61:R89" si="39">S61-0.05</f>
        <v>5.226</v>
      </c>
      <c r="S61" s="95">
        <v>5.276</v>
      </c>
      <c r="T61" s="95"/>
      <c r="U61" s="95"/>
      <c r="V61" s="96">
        <f t="shared" si="31"/>
        <v>-0.01</v>
      </c>
      <c r="W61" s="96">
        <f t="shared" si="37"/>
        <v>3.31</v>
      </c>
      <c r="X61" s="96">
        <f t="shared" si="38"/>
        <v>3.32</v>
      </c>
      <c r="Y61" s="94">
        <v>3.337</v>
      </c>
      <c r="Z61" s="94"/>
      <c r="AA61" s="94"/>
      <c r="AB61" s="94"/>
      <c r="AC61" s="94"/>
      <c r="AD61" s="96">
        <f t="shared" si="4"/>
        <v>0.005</v>
      </c>
      <c r="AE61" s="99">
        <f t="shared" si="24"/>
        <v>1.327</v>
      </c>
      <c r="AF61" s="99">
        <f t="shared" si="19"/>
        <v>1.337</v>
      </c>
      <c r="AG61" s="102">
        <v>1.352</v>
      </c>
      <c r="AH61" s="103">
        <f t="shared" si="21"/>
        <v>1.362</v>
      </c>
      <c r="AI61" s="87"/>
      <c r="AK61" s="87"/>
    </row>
    <row r="62">
      <c r="A62" s="97">
        <f t="shared" si="3"/>
        <v>58</v>
      </c>
      <c r="B62" s="92">
        <v>178.0</v>
      </c>
      <c r="C62" s="92">
        <v>75000.0</v>
      </c>
      <c r="D62" s="66">
        <f t="shared" si="1"/>
        <v>4340</v>
      </c>
      <c r="E62" s="66">
        <f t="shared" si="2"/>
        <v>1283800</v>
      </c>
      <c r="F62" s="96">
        <f t="shared" si="28"/>
        <v>0.09</v>
      </c>
      <c r="G62" s="99">
        <f t="shared" si="32"/>
        <v>5.211</v>
      </c>
      <c r="H62" s="99">
        <f t="shared" si="26"/>
        <v>5.221</v>
      </c>
      <c r="I62" s="95">
        <v>5.241</v>
      </c>
      <c r="J62" s="95"/>
      <c r="K62" s="95"/>
      <c r="L62" s="95"/>
      <c r="M62" s="95"/>
      <c r="N62" s="96">
        <f t="shared" si="34"/>
        <v>0.085</v>
      </c>
      <c r="O62" s="99">
        <f t="shared" si="35"/>
        <v>5.185</v>
      </c>
      <c r="P62" s="99">
        <f t="shared" ref="P62:P64" si="40">Q62-0.05</f>
        <v>5.216</v>
      </c>
      <c r="Q62" s="99">
        <f t="shared" si="36"/>
        <v>5.266</v>
      </c>
      <c r="R62" s="99">
        <f t="shared" si="39"/>
        <v>5.311</v>
      </c>
      <c r="S62" s="95">
        <v>5.361</v>
      </c>
      <c r="T62" s="95"/>
      <c r="U62" s="95"/>
      <c r="V62" s="96">
        <f t="shared" si="31"/>
        <v>0.06</v>
      </c>
      <c r="W62" s="96">
        <f t="shared" si="37"/>
        <v>3.37</v>
      </c>
      <c r="X62" s="96">
        <f t="shared" si="38"/>
        <v>3.38</v>
      </c>
      <c r="Y62" s="94">
        <v>3.397</v>
      </c>
      <c r="Z62" s="94"/>
      <c r="AA62" s="94"/>
      <c r="AB62" s="94"/>
      <c r="AC62" s="94"/>
      <c r="AD62" s="96">
        <f t="shared" si="4"/>
        <v>0.005</v>
      </c>
      <c r="AE62" s="99">
        <f t="shared" si="24"/>
        <v>1.332</v>
      </c>
      <c r="AF62" s="99">
        <f t="shared" si="19"/>
        <v>1.342</v>
      </c>
      <c r="AG62" s="102">
        <v>1.357</v>
      </c>
      <c r="AH62" s="103">
        <f t="shared" si="21"/>
        <v>1.367</v>
      </c>
      <c r="AI62" s="87"/>
      <c r="AK62" s="87"/>
    </row>
    <row r="63">
      <c r="A63" s="97">
        <f t="shared" si="3"/>
        <v>59</v>
      </c>
      <c r="B63" s="92">
        <v>178.0</v>
      </c>
      <c r="C63" s="92">
        <v>145000.0</v>
      </c>
      <c r="D63" s="66">
        <f t="shared" si="1"/>
        <v>4518</v>
      </c>
      <c r="E63" s="66">
        <f t="shared" si="2"/>
        <v>1428800</v>
      </c>
      <c r="F63" s="96">
        <f t="shared" si="28"/>
        <v>0.09</v>
      </c>
      <c r="G63" s="99">
        <f t="shared" si="32"/>
        <v>5.301</v>
      </c>
      <c r="H63" s="99">
        <f t="shared" si="26"/>
        <v>5.311</v>
      </c>
      <c r="I63" s="95">
        <v>5.331</v>
      </c>
      <c r="J63" s="95">
        <v>5.341</v>
      </c>
      <c r="K63" s="95"/>
      <c r="L63" s="95"/>
      <c r="M63" s="95"/>
      <c r="N63" s="96">
        <f t="shared" si="34"/>
        <v>0.085</v>
      </c>
      <c r="O63" s="99">
        <f t="shared" si="35"/>
        <v>5.27</v>
      </c>
      <c r="P63" s="99">
        <f t="shared" si="40"/>
        <v>5.301</v>
      </c>
      <c r="Q63" s="99">
        <f t="shared" si="36"/>
        <v>5.351</v>
      </c>
      <c r="R63" s="99">
        <f t="shared" si="39"/>
        <v>5.396</v>
      </c>
      <c r="S63" s="95">
        <v>5.446</v>
      </c>
      <c r="T63" s="95"/>
      <c r="U63" s="95"/>
      <c r="V63" s="96">
        <f t="shared" si="31"/>
        <v>0.06</v>
      </c>
      <c r="W63" s="96">
        <f t="shared" si="37"/>
        <v>3.43</v>
      </c>
      <c r="X63" s="96">
        <f t="shared" si="38"/>
        <v>3.44</v>
      </c>
      <c r="Y63" s="94">
        <v>3.457</v>
      </c>
      <c r="Z63" s="94"/>
      <c r="AA63" s="94"/>
      <c r="AB63" s="94"/>
      <c r="AC63" s="94"/>
      <c r="AD63" s="96">
        <f t="shared" si="4"/>
        <v>0.005</v>
      </c>
      <c r="AE63" s="95">
        <v>1.337</v>
      </c>
      <c r="AF63" s="99">
        <f t="shared" si="19"/>
        <v>1.347</v>
      </c>
      <c r="AG63" s="102">
        <v>1.362</v>
      </c>
      <c r="AH63" s="103">
        <f t="shared" si="21"/>
        <v>1.372</v>
      </c>
      <c r="AI63" s="87"/>
      <c r="AK63" s="87"/>
    </row>
    <row r="64">
      <c r="A64" s="97">
        <f t="shared" si="3"/>
        <v>60</v>
      </c>
      <c r="B64" s="92">
        <v>248.0</v>
      </c>
      <c r="C64" s="92">
        <v>145000.0</v>
      </c>
      <c r="D64" s="104">
        <f t="shared" si="1"/>
        <v>4766</v>
      </c>
      <c r="E64" s="104">
        <f t="shared" si="2"/>
        <v>1573800</v>
      </c>
      <c r="F64" s="100">
        <f t="shared" si="28"/>
        <v>0.095</v>
      </c>
      <c r="G64" s="99">
        <f t="shared" si="32"/>
        <v>5.396</v>
      </c>
      <c r="H64" s="99">
        <f t="shared" si="26"/>
        <v>5.406</v>
      </c>
      <c r="I64" s="95">
        <v>5.426</v>
      </c>
      <c r="J64" s="95">
        <v>5.436</v>
      </c>
      <c r="K64" s="95"/>
      <c r="L64" s="95"/>
      <c r="M64" s="95"/>
      <c r="N64" s="100">
        <f t="shared" si="34"/>
        <v>0.09</v>
      </c>
      <c r="O64" s="99">
        <f t="shared" si="35"/>
        <v>5.36</v>
      </c>
      <c r="P64" s="99">
        <f t="shared" si="40"/>
        <v>5.391</v>
      </c>
      <c r="Q64" s="99">
        <f t="shared" si="36"/>
        <v>5.441</v>
      </c>
      <c r="R64" s="99">
        <f t="shared" si="39"/>
        <v>5.486</v>
      </c>
      <c r="S64" s="95">
        <v>5.536</v>
      </c>
      <c r="T64" s="95"/>
      <c r="U64" s="95"/>
      <c r="V64" s="98">
        <f t="shared" si="31"/>
        <v>0.567</v>
      </c>
      <c r="W64" s="94">
        <v>3.991</v>
      </c>
      <c r="X64" s="94">
        <v>4.003</v>
      </c>
      <c r="Y64" s="94">
        <v>4.024</v>
      </c>
      <c r="Z64" s="94"/>
      <c r="AA64" s="94"/>
      <c r="AB64" s="94"/>
      <c r="AC64" s="94"/>
      <c r="AD64" s="100">
        <f t="shared" si="4"/>
        <v>0.006</v>
      </c>
      <c r="AE64" s="95">
        <v>1.343</v>
      </c>
      <c r="AF64" s="99">
        <f t="shared" si="19"/>
        <v>1.353</v>
      </c>
      <c r="AG64" s="102">
        <v>1.368</v>
      </c>
      <c r="AH64" s="103">
        <f t="shared" si="21"/>
        <v>1.378</v>
      </c>
      <c r="AI64" s="87"/>
      <c r="AK64" s="87"/>
    </row>
    <row r="65">
      <c r="A65" s="97">
        <f t="shared" si="3"/>
        <v>61</v>
      </c>
      <c r="B65" s="92">
        <v>248.0</v>
      </c>
      <c r="C65" s="92">
        <v>145000.0</v>
      </c>
      <c r="D65" s="66">
        <f t="shared" si="1"/>
        <v>5014</v>
      </c>
      <c r="E65" s="66">
        <f t="shared" si="2"/>
        <v>1718800</v>
      </c>
      <c r="F65" s="96">
        <f t="shared" si="28"/>
        <v>0.095</v>
      </c>
      <c r="G65" s="99">
        <f t="shared" si="32"/>
        <v>5.491</v>
      </c>
      <c r="H65" s="99">
        <f t="shared" si="26"/>
        <v>5.501</v>
      </c>
      <c r="I65" s="95">
        <v>5.521</v>
      </c>
      <c r="J65" s="95">
        <v>5.531</v>
      </c>
      <c r="K65" s="95"/>
      <c r="L65" s="95"/>
      <c r="M65" s="95"/>
      <c r="N65" s="96">
        <f t="shared" ref="N65:N89" si="41">S65-S64</f>
        <v>0.09</v>
      </c>
      <c r="O65" s="99">
        <f t="shared" si="35"/>
        <v>5.45</v>
      </c>
      <c r="P65" s="99">
        <f>P64+N65</f>
        <v>5.481</v>
      </c>
      <c r="Q65" s="99">
        <f t="shared" si="36"/>
        <v>5.531</v>
      </c>
      <c r="R65" s="99">
        <f t="shared" si="39"/>
        <v>5.576</v>
      </c>
      <c r="S65" s="95">
        <v>5.626</v>
      </c>
      <c r="T65" s="95"/>
      <c r="U65" s="95"/>
      <c r="V65" s="96">
        <f t="shared" si="31"/>
        <v>0.075</v>
      </c>
      <c r="W65" s="94">
        <f>W66-V66</f>
        <v>4.068</v>
      </c>
      <c r="X65" s="94">
        <f>X66-V66</f>
        <v>4.078</v>
      </c>
      <c r="Y65" s="94">
        <v>4.099</v>
      </c>
      <c r="Z65" s="94"/>
      <c r="AA65" s="94"/>
      <c r="AB65" s="94"/>
      <c r="AC65" s="94"/>
      <c r="AD65" s="96">
        <f t="shared" si="4"/>
        <v>0.006</v>
      </c>
      <c r="AE65" s="95">
        <v>1.349</v>
      </c>
      <c r="AF65" s="99">
        <f t="shared" si="19"/>
        <v>1.359</v>
      </c>
      <c r="AG65" s="102">
        <v>1.374</v>
      </c>
      <c r="AH65" s="103">
        <f t="shared" si="21"/>
        <v>1.384</v>
      </c>
      <c r="AI65" s="87"/>
      <c r="AK65" s="87"/>
    </row>
    <row r="66">
      <c r="A66" s="97">
        <f t="shared" si="3"/>
        <v>62</v>
      </c>
      <c r="B66" s="92">
        <v>248.0</v>
      </c>
      <c r="C66" s="92">
        <v>145000.0</v>
      </c>
      <c r="D66" s="66">
        <f t="shared" si="1"/>
        <v>5262</v>
      </c>
      <c r="E66" s="66">
        <f t="shared" si="2"/>
        <v>1863800</v>
      </c>
      <c r="F66" s="96">
        <f t="shared" si="28"/>
        <v>0.095</v>
      </c>
      <c r="G66" s="95">
        <v>5.586</v>
      </c>
      <c r="H66" s="95">
        <v>5.596</v>
      </c>
      <c r="I66" s="95">
        <v>5.616</v>
      </c>
      <c r="J66" s="95">
        <v>5.626</v>
      </c>
      <c r="K66" s="95"/>
      <c r="L66" s="95"/>
      <c r="M66" s="95"/>
      <c r="N66" s="96">
        <f t="shared" si="41"/>
        <v>0.09</v>
      </c>
      <c r="O66" s="99">
        <f t="shared" si="35"/>
        <v>5.54</v>
      </c>
      <c r="P66" s="95">
        <v>5.571</v>
      </c>
      <c r="Q66" s="99">
        <f t="shared" si="36"/>
        <v>5.621</v>
      </c>
      <c r="R66" s="99">
        <f t="shared" si="39"/>
        <v>5.666</v>
      </c>
      <c r="S66" s="95">
        <v>5.716</v>
      </c>
      <c r="T66" s="95"/>
      <c r="U66" s="95"/>
      <c r="V66" s="96">
        <f t="shared" si="31"/>
        <v>0.075</v>
      </c>
      <c r="W66" s="96">
        <f t="shared" ref="W66:W69" si="42">X66-0.01</f>
        <v>4.143</v>
      </c>
      <c r="X66" s="94">
        <v>4.153</v>
      </c>
      <c r="Y66" s="94">
        <v>4.174</v>
      </c>
      <c r="Z66" s="94"/>
      <c r="AA66" s="94"/>
      <c r="AB66" s="94"/>
      <c r="AC66" s="94"/>
      <c r="AD66" s="96">
        <f t="shared" ref="AD66:AD76" si="43">AG66-AG65</f>
        <v>0.006</v>
      </c>
      <c r="AE66" s="95">
        <f t="shared" ref="AE66:AE91" si="44">AE65+AD66</f>
        <v>1.355</v>
      </c>
      <c r="AF66" s="99">
        <f t="shared" si="19"/>
        <v>1.365</v>
      </c>
      <c r="AG66" s="102">
        <v>1.38</v>
      </c>
      <c r="AH66" s="103">
        <f t="shared" si="21"/>
        <v>1.39</v>
      </c>
      <c r="AI66" s="87"/>
      <c r="AK66" s="87"/>
    </row>
    <row r="67">
      <c r="A67" s="97">
        <f t="shared" si="3"/>
        <v>63</v>
      </c>
      <c r="B67" s="92">
        <v>248.0</v>
      </c>
      <c r="C67" s="92">
        <v>145000.0</v>
      </c>
      <c r="D67" s="66">
        <f t="shared" si="1"/>
        <v>5510</v>
      </c>
      <c r="E67" s="66">
        <f t="shared" si="2"/>
        <v>2008800</v>
      </c>
      <c r="F67" s="96">
        <f t="shared" si="28"/>
        <v>0.095</v>
      </c>
      <c r="G67" s="99">
        <f t="shared" ref="G67:G85" si="45">H67-0.01</f>
        <v>5.681</v>
      </c>
      <c r="H67" s="99">
        <f t="shared" ref="H67:H91" si="46">I67-0.02</f>
        <v>5.691</v>
      </c>
      <c r="I67" s="95">
        <v>5.711</v>
      </c>
      <c r="J67" s="99">
        <f t="shared" ref="J67:J91" si="47">J66+F67</f>
        <v>5.721</v>
      </c>
      <c r="K67" s="99"/>
      <c r="L67" s="99"/>
      <c r="M67" s="99"/>
      <c r="N67" s="96">
        <f t="shared" si="41"/>
        <v>0.09</v>
      </c>
      <c r="O67" s="99">
        <f t="shared" si="35"/>
        <v>5.63</v>
      </c>
      <c r="P67" s="95">
        <v>5.661</v>
      </c>
      <c r="Q67" s="99">
        <f t="shared" si="36"/>
        <v>5.711</v>
      </c>
      <c r="R67" s="99">
        <f t="shared" si="39"/>
        <v>5.756</v>
      </c>
      <c r="S67" s="95">
        <v>5.806</v>
      </c>
      <c r="T67" s="95"/>
      <c r="U67" s="95"/>
      <c r="V67" s="96">
        <f t="shared" si="31"/>
        <v>0.075</v>
      </c>
      <c r="W67" s="96">
        <f t="shared" si="42"/>
        <v>4.218</v>
      </c>
      <c r="X67" s="96">
        <f t="shared" ref="X67:X69" si="48">X66+V67</f>
        <v>4.228</v>
      </c>
      <c r="Y67" s="94">
        <v>4.249</v>
      </c>
      <c r="Z67" s="94"/>
      <c r="AA67" s="94"/>
      <c r="AB67" s="94"/>
      <c r="AC67" s="94"/>
      <c r="AD67" s="96">
        <f t="shared" si="43"/>
        <v>0.006</v>
      </c>
      <c r="AE67" s="95">
        <f t="shared" si="44"/>
        <v>1.361</v>
      </c>
      <c r="AF67" s="99">
        <f t="shared" si="19"/>
        <v>1.371</v>
      </c>
      <c r="AG67" s="102">
        <v>1.386</v>
      </c>
      <c r="AH67" s="103">
        <f t="shared" si="21"/>
        <v>1.396</v>
      </c>
      <c r="AI67" s="87"/>
      <c r="AK67" s="87"/>
    </row>
    <row r="68">
      <c r="A68" s="97">
        <f t="shared" si="3"/>
        <v>64</v>
      </c>
      <c r="B68" s="92">
        <v>248.0</v>
      </c>
      <c r="C68" s="92">
        <v>145000.0</v>
      </c>
      <c r="D68" s="66">
        <f t="shared" si="1"/>
        <v>5758</v>
      </c>
      <c r="E68" s="66">
        <f t="shared" si="2"/>
        <v>2153800</v>
      </c>
      <c r="F68" s="96">
        <f t="shared" si="28"/>
        <v>0.095</v>
      </c>
      <c r="G68" s="99">
        <f t="shared" si="45"/>
        <v>5.776</v>
      </c>
      <c r="H68" s="99">
        <f t="shared" si="46"/>
        <v>5.786</v>
      </c>
      <c r="I68" s="95">
        <v>5.806</v>
      </c>
      <c r="J68" s="99">
        <f t="shared" si="47"/>
        <v>5.816</v>
      </c>
      <c r="K68" s="99"/>
      <c r="L68" s="99"/>
      <c r="M68" s="99"/>
      <c r="N68" s="96">
        <f t="shared" si="41"/>
        <v>0.09</v>
      </c>
      <c r="O68" s="99">
        <f t="shared" si="35"/>
        <v>5.72</v>
      </c>
      <c r="P68" s="95">
        <v>5.751</v>
      </c>
      <c r="Q68" s="99">
        <f t="shared" si="36"/>
        <v>5.801</v>
      </c>
      <c r="R68" s="99">
        <f t="shared" si="39"/>
        <v>5.846</v>
      </c>
      <c r="S68" s="95">
        <v>5.896</v>
      </c>
      <c r="T68" s="95"/>
      <c r="U68" s="95"/>
      <c r="V68" s="96">
        <f t="shared" si="31"/>
        <v>0.075</v>
      </c>
      <c r="W68" s="96">
        <f t="shared" si="42"/>
        <v>4.293</v>
      </c>
      <c r="X68" s="96">
        <f t="shared" si="48"/>
        <v>4.303</v>
      </c>
      <c r="Y68" s="94">
        <v>4.324</v>
      </c>
      <c r="Z68" s="94"/>
      <c r="AA68" s="94"/>
      <c r="AB68" s="94"/>
      <c r="AC68" s="94"/>
      <c r="AD68" s="96">
        <f t="shared" si="43"/>
        <v>0.006</v>
      </c>
      <c r="AE68" s="95">
        <f t="shared" si="44"/>
        <v>1.367</v>
      </c>
      <c r="AF68" s="99">
        <f t="shared" si="19"/>
        <v>1.377</v>
      </c>
      <c r="AG68" s="102">
        <v>1.392</v>
      </c>
      <c r="AH68" s="103">
        <f t="shared" si="21"/>
        <v>1.402</v>
      </c>
      <c r="AI68" s="87"/>
      <c r="AK68" s="87"/>
    </row>
    <row r="69">
      <c r="A69" s="97">
        <f t="shared" si="3"/>
        <v>65</v>
      </c>
      <c r="B69" s="92">
        <v>248.0</v>
      </c>
      <c r="C69" s="92">
        <v>145000.0</v>
      </c>
      <c r="D69" s="66">
        <f t="shared" si="1"/>
        <v>6006</v>
      </c>
      <c r="E69" s="66">
        <f t="shared" si="2"/>
        <v>2298800</v>
      </c>
      <c r="F69" s="96">
        <f t="shared" si="28"/>
        <v>0.095</v>
      </c>
      <c r="G69" s="99">
        <f t="shared" si="45"/>
        <v>5.871</v>
      </c>
      <c r="H69" s="99">
        <f t="shared" si="46"/>
        <v>5.881</v>
      </c>
      <c r="I69" s="95">
        <v>5.901</v>
      </c>
      <c r="J69" s="99">
        <f t="shared" si="47"/>
        <v>5.911</v>
      </c>
      <c r="K69" s="99"/>
      <c r="L69" s="99"/>
      <c r="M69" s="99"/>
      <c r="N69" s="96">
        <f t="shared" si="41"/>
        <v>0.09</v>
      </c>
      <c r="O69" s="99">
        <f t="shared" si="35"/>
        <v>5.81</v>
      </c>
      <c r="P69" s="99">
        <f t="shared" ref="P69:P89" si="49">P68+N69</f>
        <v>5.841</v>
      </c>
      <c r="Q69" s="99">
        <f t="shared" si="36"/>
        <v>5.891</v>
      </c>
      <c r="R69" s="99">
        <f t="shared" si="39"/>
        <v>5.936</v>
      </c>
      <c r="S69" s="95">
        <v>5.986</v>
      </c>
      <c r="T69" s="95"/>
      <c r="U69" s="95"/>
      <c r="V69" s="96">
        <f t="shared" si="31"/>
        <v>0.075</v>
      </c>
      <c r="W69" s="96">
        <f t="shared" si="42"/>
        <v>4.368</v>
      </c>
      <c r="X69" s="96">
        <f t="shared" si="48"/>
        <v>4.378</v>
      </c>
      <c r="Y69" s="94">
        <v>4.399</v>
      </c>
      <c r="Z69" s="94"/>
      <c r="AA69" s="94"/>
      <c r="AB69" s="94"/>
      <c r="AC69" s="94"/>
      <c r="AD69" s="96">
        <f t="shared" si="43"/>
        <v>0.006</v>
      </c>
      <c r="AE69" s="95">
        <f t="shared" si="44"/>
        <v>1.373</v>
      </c>
      <c r="AF69" s="99">
        <f t="shared" si="19"/>
        <v>1.383</v>
      </c>
      <c r="AG69" s="102">
        <v>1.398</v>
      </c>
      <c r="AH69" s="103">
        <f t="shared" si="21"/>
        <v>1.408</v>
      </c>
      <c r="AI69" s="87"/>
      <c r="AK69" s="87"/>
    </row>
    <row r="70">
      <c r="A70" s="97">
        <f t="shared" si="3"/>
        <v>66</v>
      </c>
      <c r="B70" s="92">
        <v>248.0</v>
      </c>
      <c r="C70" s="92">
        <v>145000.0</v>
      </c>
      <c r="D70" s="104">
        <f t="shared" si="1"/>
        <v>6254</v>
      </c>
      <c r="E70" s="104">
        <f t="shared" si="2"/>
        <v>2443800</v>
      </c>
      <c r="F70" s="96">
        <f t="shared" si="28"/>
        <v>0.095</v>
      </c>
      <c r="G70" s="99">
        <f t="shared" si="45"/>
        <v>5.966</v>
      </c>
      <c r="H70" s="99">
        <f t="shared" si="46"/>
        <v>5.976</v>
      </c>
      <c r="I70" s="95">
        <v>5.996</v>
      </c>
      <c r="J70" s="99">
        <f t="shared" si="47"/>
        <v>6.006</v>
      </c>
      <c r="K70" s="95">
        <v>6.036</v>
      </c>
      <c r="L70" s="95">
        <v>6.051</v>
      </c>
      <c r="M70" s="99">
        <f t="shared" ref="M70:M78" si="50">L70+0.036</f>
        <v>6.087</v>
      </c>
      <c r="N70" s="96">
        <f t="shared" si="41"/>
        <v>0.09</v>
      </c>
      <c r="O70" s="99">
        <f t="shared" si="35"/>
        <v>5.9</v>
      </c>
      <c r="P70" s="99">
        <f t="shared" si="49"/>
        <v>5.931</v>
      </c>
      <c r="Q70" s="99">
        <f t="shared" si="36"/>
        <v>5.981</v>
      </c>
      <c r="R70" s="99">
        <f t="shared" si="39"/>
        <v>6.026</v>
      </c>
      <c r="S70" s="95">
        <v>6.076</v>
      </c>
      <c r="T70" s="95"/>
      <c r="U70" s="95"/>
      <c r="V70" s="98">
        <f t="shared" si="31"/>
        <v>0.654</v>
      </c>
      <c r="W70" s="94">
        <v>5.014</v>
      </c>
      <c r="X70" s="94">
        <v>5.028</v>
      </c>
      <c r="Y70" s="94">
        <v>5.053</v>
      </c>
      <c r="Z70" s="94">
        <v>5.067</v>
      </c>
      <c r="AA70" s="94"/>
      <c r="AB70" s="94"/>
      <c r="AC70" s="94"/>
      <c r="AD70" s="96">
        <f t="shared" si="43"/>
        <v>0.006</v>
      </c>
      <c r="AE70" s="95">
        <f t="shared" si="44"/>
        <v>1.379</v>
      </c>
      <c r="AF70" s="99">
        <f t="shared" si="19"/>
        <v>1.389</v>
      </c>
      <c r="AG70" s="102">
        <v>1.404</v>
      </c>
      <c r="AH70" s="103">
        <f t="shared" si="21"/>
        <v>1.414</v>
      </c>
      <c r="AI70" s="87"/>
      <c r="AK70" s="87"/>
    </row>
    <row r="71">
      <c r="A71" s="97">
        <f t="shared" si="3"/>
        <v>67</v>
      </c>
      <c r="B71" s="92">
        <v>248.0</v>
      </c>
      <c r="C71" s="92">
        <v>145000.0</v>
      </c>
      <c r="D71" s="66">
        <f t="shared" si="1"/>
        <v>6502</v>
      </c>
      <c r="E71" s="66">
        <f t="shared" si="2"/>
        <v>2588800</v>
      </c>
      <c r="F71" s="96">
        <f t="shared" si="28"/>
        <v>0.095</v>
      </c>
      <c r="G71" s="99">
        <f t="shared" si="45"/>
        <v>6.061</v>
      </c>
      <c r="H71" s="99">
        <f t="shared" si="46"/>
        <v>6.071</v>
      </c>
      <c r="I71" s="95">
        <f t="shared" ref="I71:I91" si="51">K71-0.04</f>
        <v>6.091</v>
      </c>
      <c r="J71" s="99">
        <f t="shared" si="47"/>
        <v>6.101</v>
      </c>
      <c r="K71" s="95">
        <v>6.131</v>
      </c>
      <c r="L71" s="99">
        <f t="shared" ref="L71:L79" si="52">K71+0.015</f>
        <v>6.146</v>
      </c>
      <c r="M71" s="99">
        <f t="shared" si="50"/>
        <v>6.182</v>
      </c>
      <c r="N71" s="96">
        <f t="shared" si="41"/>
        <v>0.09</v>
      </c>
      <c r="O71" s="99">
        <f t="shared" si="35"/>
        <v>5.99</v>
      </c>
      <c r="P71" s="99">
        <f t="shared" si="49"/>
        <v>6.021</v>
      </c>
      <c r="Q71" s="99">
        <f t="shared" si="36"/>
        <v>6.071</v>
      </c>
      <c r="R71" s="99">
        <f t="shared" si="39"/>
        <v>6.116</v>
      </c>
      <c r="S71" s="95">
        <v>6.166</v>
      </c>
      <c r="T71" s="95"/>
      <c r="U71" s="95"/>
      <c r="V71" s="96">
        <f t="shared" si="31"/>
        <v>0.087</v>
      </c>
      <c r="W71" s="96">
        <f t="shared" ref="W71:W73" si="53">X71-0.014</f>
        <v>5.102</v>
      </c>
      <c r="X71" s="96">
        <f>Y71-0.024</f>
        <v>5.116</v>
      </c>
      <c r="Y71" s="94">
        <v>5.14</v>
      </c>
      <c r="Z71" s="96">
        <f t="shared" ref="Z71:Z73" si="54">Y71+0.014</f>
        <v>5.154</v>
      </c>
      <c r="AA71" s="96"/>
      <c r="AB71" s="96"/>
      <c r="AC71" s="96"/>
      <c r="AD71" s="96">
        <f t="shared" si="43"/>
        <v>0.006</v>
      </c>
      <c r="AE71" s="95">
        <f t="shared" si="44"/>
        <v>1.385</v>
      </c>
      <c r="AF71" s="99">
        <f t="shared" si="19"/>
        <v>1.395</v>
      </c>
      <c r="AG71" s="102">
        <v>1.41</v>
      </c>
      <c r="AH71" s="102">
        <v>1.42</v>
      </c>
      <c r="AI71" s="87"/>
      <c r="AK71" s="87"/>
    </row>
    <row r="72">
      <c r="A72" s="97">
        <f t="shared" si="3"/>
        <v>68</v>
      </c>
      <c r="B72" s="92">
        <v>248.0</v>
      </c>
      <c r="C72" s="92">
        <v>145000.0</v>
      </c>
      <c r="D72" s="66">
        <f t="shared" si="1"/>
        <v>6750</v>
      </c>
      <c r="E72" s="66">
        <f t="shared" si="2"/>
        <v>2733800</v>
      </c>
      <c r="F72" s="96">
        <f t="shared" si="28"/>
        <v>0.095</v>
      </c>
      <c r="G72" s="99">
        <f t="shared" si="45"/>
        <v>6.156</v>
      </c>
      <c r="H72" s="99">
        <f t="shared" si="46"/>
        <v>6.166</v>
      </c>
      <c r="I72" s="95">
        <f t="shared" si="51"/>
        <v>6.186</v>
      </c>
      <c r="J72" s="99">
        <f t="shared" si="47"/>
        <v>6.196</v>
      </c>
      <c r="K72" s="95">
        <v>6.226</v>
      </c>
      <c r="L72" s="99">
        <f t="shared" si="52"/>
        <v>6.241</v>
      </c>
      <c r="M72" s="99">
        <f t="shared" si="50"/>
        <v>6.277</v>
      </c>
      <c r="N72" s="96">
        <f t="shared" si="41"/>
        <v>0.09</v>
      </c>
      <c r="O72" s="99">
        <f t="shared" si="35"/>
        <v>6.08</v>
      </c>
      <c r="P72" s="99">
        <f t="shared" si="49"/>
        <v>6.111</v>
      </c>
      <c r="Q72" s="99">
        <f t="shared" si="36"/>
        <v>6.161</v>
      </c>
      <c r="R72" s="99">
        <f t="shared" si="39"/>
        <v>6.206</v>
      </c>
      <c r="S72" s="95">
        <v>6.256</v>
      </c>
      <c r="T72" s="95"/>
      <c r="U72" s="95"/>
      <c r="V72" s="96">
        <f t="shared" si="31"/>
        <v>0.088</v>
      </c>
      <c r="W72" s="96">
        <f t="shared" si="53"/>
        <v>5.189</v>
      </c>
      <c r="X72" s="96">
        <f>Y72-0.025</f>
        <v>5.203</v>
      </c>
      <c r="Y72" s="94">
        <v>5.228</v>
      </c>
      <c r="Z72" s="96">
        <f t="shared" si="54"/>
        <v>5.242</v>
      </c>
      <c r="AA72" s="96"/>
      <c r="AB72" s="96"/>
      <c r="AC72" s="96"/>
      <c r="AD72" s="96">
        <f t="shared" si="43"/>
        <v>0.006</v>
      </c>
      <c r="AE72" s="95">
        <f t="shared" si="44"/>
        <v>1.391</v>
      </c>
      <c r="AF72" s="99">
        <f t="shared" si="19"/>
        <v>1.401</v>
      </c>
      <c r="AG72" s="102">
        <v>1.416</v>
      </c>
      <c r="AH72" s="102">
        <v>1.426</v>
      </c>
      <c r="AI72" s="87"/>
      <c r="AK72" s="87"/>
    </row>
    <row r="73">
      <c r="A73" s="97">
        <f t="shared" si="3"/>
        <v>69</v>
      </c>
      <c r="B73" s="92">
        <v>248.0</v>
      </c>
      <c r="C73" s="92">
        <v>350000.0</v>
      </c>
      <c r="D73" s="66">
        <f t="shared" si="1"/>
        <v>6998</v>
      </c>
      <c r="E73" s="66">
        <f t="shared" si="2"/>
        <v>3083800</v>
      </c>
      <c r="F73" s="96">
        <f t="shared" si="28"/>
        <v>0.095</v>
      </c>
      <c r="G73" s="99">
        <f t="shared" si="45"/>
        <v>6.251</v>
      </c>
      <c r="H73" s="99">
        <f t="shared" si="46"/>
        <v>6.261</v>
      </c>
      <c r="I73" s="95">
        <f t="shared" si="51"/>
        <v>6.281</v>
      </c>
      <c r="J73" s="99">
        <f t="shared" si="47"/>
        <v>6.291</v>
      </c>
      <c r="K73" s="95">
        <v>6.321</v>
      </c>
      <c r="L73" s="99">
        <f t="shared" si="52"/>
        <v>6.336</v>
      </c>
      <c r="M73" s="99">
        <f t="shared" si="50"/>
        <v>6.372</v>
      </c>
      <c r="N73" s="96">
        <f t="shared" si="41"/>
        <v>0.09</v>
      </c>
      <c r="O73" s="99">
        <f t="shared" si="35"/>
        <v>6.17</v>
      </c>
      <c r="P73" s="99">
        <f t="shared" si="49"/>
        <v>6.201</v>
      </c>
      <c r="Q73" s="99">
        <f t="shared" si="36"/>
        <v>6.251</v>
      </c>
      <c r="R73" s="99">
        <f t="shared" si="39"/>
        <v>6.296</v>
      </c>
      <c r="S73" s="95">
        <v>6.346</v>
      </c>
      <c r="T73" s="95"/>
      <c r="U73" s="95"/>
      <c r="V73" s="96">
        <f t="shared" si="31"/>
        <v>0.087</v>
      </c>
      <c r="W73" s="96">
        <f t="shared" si="53"/>
        <v>5.277</v>
      </c>
      <c r="X73" s="96">
        <f>Y73-0.024</f>
        <v>5.291</v>
      </c>
      <c r="Y73" s="94">
        <v>5.315</v>
      </c>
      <c r="Z73" s="96">
        <f t="shared" si="54"/>
        <v>5.329</v>
      </c>
      <c r="AA73" s="96"/>
      <c r="AB73" s="96"/>
      <c r="AC73" s="96"/>
      <c r="AD73" s="96">
        <f t="shared" si="43"/>
        <v>0.006</v>
      </c>
      <c r="AE73" s="95">
        <f t="shared" si="44"/>
        <v>1.397</v>
      </c>
      <c r="AF73" s="99">
        <f t="shared" si="19"/>
        <v>1.407</v>
      </c>
      <c r="AG73" s="102">
        <v>1.422</v>
      </c>
      <c r="AH73" s="102">
        <v>1.432</v>
      </c>
      <c r="AI73" s="87"/>
      <c r="AK73" s="87"/>
    </row>
    <row r="74">
      <c r="A74" s="97">
        <f t="shared" si="3"/>
        <v>70</v>
      </c>
      <c r="B74" s="92">
        <v>346.0</v>
      </c>
      <c r="C74" s="92">
        <v>350000.0</v>
      </c>
      <c r="D74" s="66">
        <f t="shared" si="1"/>
        <v>7344</v>
      </c>
      <c r="E74" s="66">
        <f t="shared" si="2"/>
        <v>3433800</v>
      </c>
      <c r="F74" s="100">
        <f t="shared" si="28"/>
        <v>0.1</v>
      </c>
      <c r="G74" s="99">
        <f t="shared" si="45"/>
        <v>6.351</v>
      </c>
      <c r="H74" s="99">
        <f t="shared" si="46"/>
        <v>6.361</v>
      </c>
      <c r="I74" s="95">
        <f t="shared" si="51"/>
        <v>6.381</v>
      </c>
      <c r="J74" s="99">
        <f t="shared" si="47"/>
        <v>6.391</v>
      </c>
      <c r="K74" s="95">
        <v>6.421</v>
      </c>
      <c r="L74" s="99">
        <f t="shared" si="52"/>
        <v>6.436</v>
      </c>
      <c r="M74" s="99">
        <f t="shared" si="50"/>
        <v>6.472</v>
      </c>
      <c r="N74" s="96">
        <f t="shared" si="41"/>
        <v>0.09</v>
      </c>
      <c r="O74" s="99">
        <f t="shared" si="35"/>
        <v>6.26</v>
      </c>
      <c r="P74" s="99">
        <f t="shared" si="49"/>
        <v>6.291</v>
      </c>
      <c r="Q74" s="99">
        <f t="shared" si="36"/>
        <v>6.341</v>
      </c>
      <c r="R74" s="99">
        <f t="shared" si="39"/>
        <v>6.386</v>
      </c>
      <c r="S74" s="95">
        <v>6.436</v>
      </c>
      <c r="T74" s="95"/>
      <c r="U74" s="95"/>
      <c r="V74" s="98">
        <f t="shared" si="31"/>
        <v>0.733</v>
      </c>
      <c r="W74" s="94">
        <v>6.004</v>
      </c>
      <c r="X74" s="94">
        <v>6.02</v>
      </c>
      <c r="Y74" s="94">
        <v>6.048</v>
      </c>
      <c r="Z74" s="94">
        <v>6.064</v>
      </c>
      <c r="AA74" s="94"/>
      <c r="AB74" s="94"/>
      <c r="AC74" s="94"/>
      <c r="AD74" s="96">
        <f t="shared" si="43"/>
        <v>0.006</v>
      </c>
      <c r="AE74" s="95">
        <f t="shared" si="44"/>
        <v>1.403</v>
      </c>
      <c r="AF74" s="99">
        <f t="shared" si="19"/>
        <v>1.413</v>
      </c>
      <c r="AG74" s="102">
        <v>1.428</v>
      </c>
      <c r="AH74" s="102">
        <f t="shared" ref="AH74:AH91" si="55">AG74+0.01</f>
        <v>1.438</v>
      </c>
      <c r="AI74" s="87"/>
      <c r="AK74" s="87"/>
    </row>
    <row r="75">
      <c r="A75" s="97">
        <f t="shared" si="3"/>
        <v>71</v>
      </c>
      <c r="B75" s="92">
        <v>346.0</v>
      </c>
      <c r="C75" s="92">
        <v>350000.0</v>
      </c>
      <c r="D75" s="66">
        <f t="shared" si="1"/>
        <v>7690</v>
      </c>
      <c r="E75" s="66">
        <f t="shared" si="2"/>
        <v>3783800</v>
      </c>
      <c r="F75" s="96">
        <f t="shared" si="28"/>
        <v>0.1</v>
      </c>
      <c r="G75" s="99">
        <f t="shared" si="45"/>
        <v>6.451</v>
      </c>
      <c r="H75" s="99">
        <f t="shared" si="46"/>
        <v>6.461</v>
      </c>
      <c r="I75" s="95">
        <f t="shared" si="51"/>
        <v>6.481</v>
      </c>
      <c r="J75" s="99">
        <f t="shared" si="47"/>
        <v>6.491</v>
      </c>
      <c r="K75" s="95">
        <v>6.521</v>
      </c>
      <c r="L75" s="99">
        <f t="shared" si="52"/>
        <v>6.536</v>
      </c>
      <c r="M75" s="99">
        <f t="shared" si="50"/>
        <v>6.572</v>
      </c>
      <c r="N75" s="96">
        <f t="shared" si="41"/>
        <v>0.09</v>
      </c>
      <c r="O75" s="99">
        <f t="shared" si="35"/>
        <v>6.35</v>
      </c>
      <c r="P75" s="99">
        <f t="shared" si="49"/>
        <v>6.381</v>
      </c>
      <c r="Q75" s="99">
        <f t="shared" si="36"/>
        <v>6.431</v>
      </c>
      <c r="R75" s="99">
        <f t="shared" si="39"/>
        <v>6.476</v>
      </c>
      <c r="S75" s="95">
        <v>6.526</v>
      </c>
      <c r="T75" s="95">
        <v>6.556</v>
      </c>
      <c r="U75" s="95"/>
      <c r="V75" s="100">
        <f t="shared" si="31"/>
        <v>0.116</v>
      </c>
      <c r="W75" s="94">
        <v>6.12</v>
      </c>
      <c r="X75" s="94">
        <v>6.136</v>
      </c>
      <c r="Y75" s="94">
        <v>6.164</v>
      </c>
      <c r="Z75" s="94">
        <v>6.18</v>
      </c>
      <c r="AA75" s="94"/>
      <c r="AB75" s="94"/>
      <c r="AC75" s="94"/>
      <c r="AD75" s="96">
        <f t="shared" si="43"/>
        <v>0.006</v>
      </c>
      <c r="AE75" s="95">
        <f t="shared" si="44"/>
        <v>1.409</v>
      </c>
      <c r="AF75" s="99">
        <f t="shared" si="19"/>
        <v>1.419</v>
      </c>
      <c r="AG75" s="102">
        <v>1.434</v>
      </c>
      <c r="AH75" s="102">
        <f t="shared" si="55"/>
        <v>1.444</v>
      </c>
      <c r="AI75" s="87"/>
      <c r="AK75" s="87"/>
    </row>
    <row r="76">
      <c r="A76" s="97">
        <f t="shared" si="3"/>
        <v>72</v>
      </c>
      <c r="B76" s="92">
        <v>346.0</v>
      </c>
      <c r="C76" s="92">
        <v>350000.0</v>
      </c>
      <c r="D76" s="66">
        <f t="shared" si="1"/>
        <v>8036</v>
      </c>
      <c r="E76" s="66">
        <f t="shared" si="2"/>
        <v>4133800</v>
      </c>
      <c r="F76" s="96">
        <f t="shared" si="28"/>
        <v>0.1</v>
      </c>
      <c r="G76" s="99">
        <f t="shared" si="45"/>
        <v>6.551</v>
      </c>
      <c r="H76" s="99">
        <f t="shared" si="46"/>
        <v>6.561</v>
      </c>
      <c r="I76" s="95">
        <f t="shared" si="51"/>
        <v>6.581</v>
      </c>
      <c r="J76" s="99">
        <f t="shared" si="47"/>
        <v>6.591</v>
      </c>
      <c r="K76" s="95">
        <v>6.621</v>
      </c>
      <c r="L76" s="99">
        <f t="shared" si="52"/>
        <v>6.636</v>
      </c>
      <c r="M76" s="99">
        <f t="shared" si="50"/>
        <v>6.672</v>
      </c>
      <c r="N76" s="96">
        <f t="shared" si="41"/>
        <v>0.09</v>
      </c>
      <c r="O76" s="99">
        <f t="shared" si="35"/>
        <v>6.44</v>
      </c>
      <c r="P76" s="99">
        <f t="shared" si="49"/>
        <v>6.471</v>
      </c>
      <c r="Q76" s="99">
        <f t="shared" si="36"/>
        <v>6.521</v>
      </c>
      <c r="R76" s="99">
        <f t="shared" si="39"/>
        <v>6.566</v>
      </c>
      <c r="S76" s="95">
        <v>6.616</v>
      </c>
      <c r="T76" s="99">
        <f t="shared" ref="T76:T84" si="56">S76+0.03</f>
        <v>6.646</v>
      </c>
      <c r="U76" s="99"/>
      <c r="V76" s="96">
        <f t="shared" si="31"/>
        <v>0.116</v>
      </c>
      <c r="W76" s="94">
        <v>6.236</v>
      </c>
      <c r="X76" s="94">
        <v>6.252</v>
      </c>
      <c r="Y76" s="94">
        <v>6.28</v>
      </c>
      <c r="Z76" s="94">
        <v>6.296</v>
      </c>
      <c r="AA76" s="94"/>
      <c r="AB76" s="94"/>
      <c r="AC76" s="94"/>
      <c r="AD76" s="96">
        <f t="shared" si="43"/>
        <v>0.006</v>
      </c>
      <c r="AE76" s="95">
        <f t="shared" si="44"/>
        <v>1.415</v>
      </c>
      <c r="AF76" s="99">
        <f t="shared" si="19"/>
        <v>1.425</v>
      </c>
      <c r="AG76" s="102">
        <v>1.44</v>
      </c>
      <c r="AH76" s="102">
        <f t="shared" si="55"/>
        <v>1.45</v>
      </c>
      <c r="AI76" s="102">
        <v>1.46</v>
      </c>
      <c r="AJ76" s="102">
        <v>1.48</v>
      </c>
      <c r="AK76" s="87"/>
    </row>
    <row r="77">
      <c r="A77" s="97">
        <f t="shared" si="3"/>
        <v>73</v>
      </c>
      <c r="B77" s="92">
        <v>346.0</v>
      </c>
      <c r="C77" s="92">
        <v>350000.0</v>
      </c>
      <c r="D77" s="66">
        <f t="shared" si="1"/>
        <v>8382</v>
      </c>
      <c r="E77" s="66">
        <f t="shared" si="2"/>
        <v>4483800</v>
      </c>
      <c r="F77" s="96">
        <f t="shared" si="28"/>
        <v>0.1</v>
      </c>
      <c r="G77" s="99">
        <f t="shared" si="45"/>
        <v>6.651</v>
      </c>
      <c r="H77" s="99">
        <f t="shared" si="46"/>
        <v>6.661</v>
      </c>
      <c r="I77" s="95">
        <f t="shared" si="51"/>
        <v>6.681</v>
      </c>
      <c r="J77" s="99">
        <f t="shared" si="47"/>
        <v>6.691</v>
      </c>
      <c r="K77" s="95">
        <v>6.721</v>
      </c>
      <c r="L77" s="99">
        <f t="shared" si="52"/>
        <v>6.736</v>
      </c>
      <c r="M77" s="99">
        <f t="shared" si="50"/>
        <v>6.772</v>
      </c>
      <c r="N77" s="96">
        <f t="shared" si="41"/>
        <v>0.09</v>
      </c>
      <c r="O77" s="99">
        <f t="shared" si="35"/>
        <v>6.53</v>
      </c>
      <c r="P77" s="99">
        <f t="shared" si="49"/>
        <v>6.561</v>
      </c>
      <c r="Q77" s="99">
        <f t="shared" si="36"/>
        <v>6.611</v>
      </c>
      <c r="R77" s="99">
        <f t="shared" si="39"/>
        <v>6.656</v>
      </c>
      <c r="S77" s="95">
        <v>6.706</v>
      </c>
      <c r="T77" s="99">
        <f t="shared" si="56"/>
        <v>6.736</v>
      </c>
      <c r="U77" s="99"/>
      <c r="V77" s="96">
        <f t="shared" si="31"/>
        <v>0.116</v>
      </c>
      <c r="W77" s="94">
        <v>6.352</v>
      </c>
      <c r="X77" s="94">
        <v>6.368</v>
      </c>
      <c r="Y77" s="94">
        <v>6.396</v>
      </c>
      <c r="Z77" s="94">
        <v>6.412</v>
      </c>
      <c r="AA77" s="94"/>
      <c r="AB77" s="94"/>
      <c r="AC77" s="94"/>
      <c r="AD77" s="96">
        <f t="shared" ref="AD77:AD91" si="57">AI77-AI76</f>
        <v>0.006</v>
      </c>
      <c r="AE77" s="95">
        <f t="shared" si="44"/>
        <v>1.421</v>
      </c>
      <c r="AF77" s="99">
        <f t="shared" si="19"/>
        <v>1.431</v>
      </c>
      <c r="AG77" s="102">
        <f t="shared" ref="AG77:AG91" si="58">AG76+AD77</f>
        <v>1.446</v>
      </c>
      <c r="AH77" s="102">
        <f t="shared" si="55"/>
        <v>1.456</v>
      </c>
      <c r="AI77" s="102">
        <v>1.466</v>
      </c>
      <c r="AJ77" s="103">
        <f t="shared" ref="AJ77:AJ84" si="59">AI77+0.02</f>
        <v>1.486</v>
      </c>
      <c r="AK77" s="87"/>
    </row>
    <row r="78">
      <c r="A78" s="97">
        <f t="shared" si="3"/>
        <v>74</v>
      </c>
      <c r="B78" s="92">
        <v>346.0</v>
      </c>
      <c r="C78" s="92">
        <v>350000.0</v>
      </c>
      <c r="D78" s="66">
        <f t="shared" si="1"/>
        <v>8728</v>
      </c>
      <c r="E78" s="66">
        <f t="shared" si="2"/>
        <v>4833800</v>
      </c>
      <c r="F78" s="96">
        <f t="shared" si="28"/>
        <v>0.1</v>
      </c>
      <c r="G78" s="99">
        <f t="shared" si="45"/>
        <v>6.751</v>
      </c>
      <c r="H78" s="99">
        <f t="shared" si="46"/>
        <v>6.761</v>
      </c>
      <c r="I78" s="95">
        <f t="shared" si="51"/>
        <v>6.781</v>
      </c>
      <c r="J78" s="99">
        <f t="shared" si="47"/>
        <v>6.791</v>
      </c>
      <c r="K78" s="95">
        <v>6.821</v>
      </c>
      <c r="L78" s="99">
        <f t="shared" si="52"/>
        <v>6.836</v>
      </c>
      <c r="M78" s="99">
        <f t="shared" si="50"/>
        <v>6.872</v>
      </c>
      <c r="N78" s="96">
        <f t="shared" si="41"/>
        <v>0.09</v>
      </c>
      <c r="O78" s="99">
        <f t="shared" si="35"/>
        <v>6.62</v>
      </c>
      <c r="P78" s="99">
        <f t="shared" si="49"/>
        <v>6.651</v>
      </c>
      <c r="Q78" s="99">
        <f t="shared" si="36"/>
        <v>6.701</v>
      </c>
      <c r="R78" s="99">
        <f t="shared" si="39"/>
        <v>6.746</v>
      </c>
      <c r="S78" s="95">
        <v>6.796</v>
      </c>
      <c r="T78" s="99">
        <f t="shared" si="56"/>
        <v>6.826</v>
      </c>
      <c r="U78" s="99"/>
      <c r="V78" s="96">
        <f t="shared" si="31"/>
        <v>0.116</v>
      </c>
      <c r="W78" s="95">
        <v>6.468</v>
      </c>
      <c r="X78" s="95">
        <v>6.484</v>
      </c>
      <c r="Y78" s="95">
        <v>6.512</v>
      </c>
      <c r="Z78" s="95">
        <v>6.528</v>
      </c>
      <c r="AA78" s="95"/>
      <c r="AB78" s="95"/>
      <c r="AC78" s="95"/>
      <c r="AD78" s="96">
        <f t="shared" si="57"/>
        <v>0.006</v>
      </c>
      <c r="AE78" s="95">
        <f t="shared" si="44"/>
        <v>1.427</v>
      </c>
      <c r="AF78" s="99">
        <f t="shared" si="19"/>
        <v>1.437</v>
      </c>
      <c r="AG78" s="102">
        <f t="shared" si="58"/>
        <v>1.452</v>
      </c>
      <c r="AH78" s="102">
        <f t="shared" si="55"/>
        <v>1.462</v>
      </c>
      <c r="AI78" s="102">
        <v>1.472</v>
      </c>
      <c r="AJ78" s="103">
        <f t="shared" si="59"/>
        <v>1.492</v>
      </c>
      <c r="AK78" s="87"/>
    </row>
    <row r="79">
      <c r="A79" s="97">
        <f t="shared" si="3"/>
        <v>75</v>
      </c>
      <c r="B79" s="92">
        <v>346.0</v>
      </c>
      <c r="C79" s="92">
        <v>350000.0</v>
      </c>
      <c r="D79" s="66">
        <f t="shared" si="1"/>
        <v>9074</v>
      </c>
      <c r="E79" s="66">
        <f t="shared" si="2"/>
        <v>5183800</v>
      </c>
      <c r="F79" s="96">
        <f t="shared" si="28"/>
        <v>0.1</v>
      </c>
      <c r="G79" s="99">
        <f t="shared" si="45"/>
        <v>6.851</v>
      </c>
      <c r="H79" s="99">
        <f t="shared" si="46"/>
        <v>6.861</v>
      </c>
      <c r="I79" s="95">
        <f t="shared" si="51"/>
        <v>6.881</v>
      </c>
      <c r="J79" s="99">
        <f t="shared" si="47"/>
        <v>6.891</v>
      </c>
      <c r="K79" s="95">
        <v>6.921</v>
      </c>
      <c r="L79" s="99">
        <f t="shared" si="52"/>
        <v>6.936</v>
      </c>
      <c r="M79" s="95">
        <v>6.972</v>
      </c>
      <c r="N79" s="96">
        <f t="shared" si="41"/>
        <v>0.09</v>
      </c>
      <c r="O79" s="99">
        <f t="shared" si="35"/>
        <v>6.71</v>
      </c>
      <c r="P79" s="99">
        <f t="shared" si="49"/>
        <v>6.741</v>
      </c>
      <c r="Q79" s="99">
        <f t="shared" si="36"/>
        <v>6.791</v>
      </c>
      <c r="R79" s="99">
        <f t="shared" si="39"/>
        <v>6.836</v>
      </c>
      <c r="S79" s="95">
        <v>6.886</v>
      </c>
      <c r="T79" s="99">
        <f t="shared" si="56"/>
        <v>6.916</v>
      </c>
      <c r="U79" s="99"/>
      <c r="V79" s="98">
        <f t="shared" si="31"/>
        <v>0.819</v>
      </c>
      <c r="W79" s="95">
        <v>7.282</v>
      </c>
      <c r="X79" s="95">
        <v>7.3</v>
      </c>
      <c r="Y79" s="95">
        <v>7.331</v>
      </c>
      <c r="Z79" s="95">
        <v>7.349</v>
      </c>
      <c r="AA79" s="95"/>
      <c r="AB79" s="95"/>
      <c r="AC79" s="95"/>
      <c r="AD79" s="96">
        <f t="shared" si="57"/>
        <v>0.006</v>
      </c>
      <c r="AE79" s="95">
        <f t="shared" si="44"/>
        <v>1.433</v>
      </c>
      <c r="AF79" s="99">
        <f t="shared" si="19"/>
        <v>1.443</v>
      </c>
      <c r="AG79" s="102">
        <f t="shared" si="58"/>
        <v>1.458</v>
      </c>
      <c r="AH79" s="102">
        <f t="shared" si="55"/>
        <v>1.468</v>
      </c>
      <c r="AI79" s="102">
        <v>1.478</v>
      </c>
      <c r="AJ79" s="103">
        <f t="shared" si="59"/>
        <v>1.498</v>
      </c>
      <c r="AK79" s="87"/>
    </row>
    <row r="80">
      <c r="A80" s="97">
        <f t="shared" si="3"/>
        <v>76</v>
      </c>
      <c r="B80" s="92">
        <v>346.0</v>
      </c>
      <c r="C80" s="92">
        <v>350000.0</v>
      </c>
      <c r="D80" s="66">
        <f t="shared" si="1"/>
        <v>9420</v>
      </c>
      <c r="E80" s="66">
        <f t="shared" si="2"/>
        <v>5533800</v>
      </c>
      <c r="F80" s="96">
        <f t="shared" ref="F80:F91" si="60">L80-L79</f>
        <v>0.1</v>
      </c>
      <c r="G80" s="99">
        <f t="shared" si="45"/>
        <v>6.951</v>
      </c>
      <c r="H80" s="99">
        <f t="shared" si="46"/>
        <v>6.961</v>
      </c>
      <c r="I80" s="95">
        <f t="shared" si="51"/>
        <v>6.981</v>
      </c>
      <c r="J80" s="99">
        <f t="shared" si="47"/>
        <v>6.991</v>
      </c>
      <c r="K80" s="95">
        <f t="shared" ref="K80:K91" si="61">L80-0.015</f>
        <v>7.021</v>
      </c>
      <c r="L80" s="95">
        <v>7.036</v>
      </c>
      <c r="M80" s="95">
        <f t="shared" ref="M80:M91" si="62">L80+0.036</f>
        <v>7.072</v>
      </c>
      <c r="N80" s="96">
        <f t="shared" si="41"/>
        <v>0.09</v>
      </c>
      <c r="O80" s="99">
        <f t="shared" si="35"/>
        <v>6.8</v>
      </c>
      <c r="P80" s="99">
        <f t="shared" si="49"/>
        <v>6.831</v>
      </c>
      <c r="Q80" s="99">
        <f t="shared" si="36"/>
        <v>6.881</v>
      </c>
      <c r="R80" s="99">
        <f t="shared" si="39"/>
        <v>6.926</v>
      </c>
      <c r="S80" s="95">
        <v>6.976</v>
      </c>
      <c r="T80" s="99">
        <f t="shared" si="56"/>
        <v>7.006</v>
      </c>
      <c r="U80" s="99"/>
      <c r="V80" s="100">
        <f t="shared" si="31"/>
        <v>0.145</v>
      </c>
      <c r="W80" s="95">
        <v>7.421</v>
      </c>
      <c r="X80" s="95">
        <v>7.441</v>
      </c>
      <c r="Y80" s="95">
        <v>7.476</v>
      </c>
      <c r="Z80" s="95">
        <v>7.496</v>
      </c>
      <c r="AA80" s="95"/>
      <c r="AB80" s="95"/>
      <c r="AC80" s="95"/>
      <c r="AD80" s="96">
        <f t="shared" si="57"/>
        <v>0.006</v>
      </c>
      <c r="AE80" s="95">
        <f t="shared" si="44"/>
        <v>1.439</v>
      </c>
      <c r="AF80" s="99">
        <f t="shared" si="19"/>
        <v>1.449</v>
      </c>
      <c r="AG80" s="102">
        <f t="shared" si="58"/>
        <v>1.464</v>
      </c>
      <c r="AH80" s="102">
        <f t="shared" si="55"/>
        <v>1.474</v>
      </c>
      <c r="AI80" s="102">
        <v>1.484</v>
      </c>
      <c r="AJ80" s="103">
        <f t="shared" si="59"/>
        <v>1.504</v>
      </c>
      <c r="AK80" s="87"/>
    </row>
    <row r="81">
      <c r="A81" s="97">
        <f t="shared" si="3"/>
        <v>77</v>
      </c>
      <c r="B81" s="92">
        <v>346.0</v>
      </c>
      <c r="C81" s="92">
        <v>350000.0</v>
      </c>
      <c r="D81" s="66">
        <f t="shared" si="1"/>
        <v>9766</v>
      </c>
      <c r="E81" s="66">
        <f t="shared" si="2"/>
        <v>5883800</v>
      </c>
      <c r="F81" s="96">
        <f t="shared" si="60"/>
        <v>0.1</v>
      </c>
      <c r="G81" s="99">
        <f t="shared" si="45"/>
        <v>7.051</v>
      </c>
      <c r="H81" s="99">
        <f t="shared" si="46"/>
        <v>7.061</v>
      </c>
      <c r="I81" s="95">
        <f t="shared" si="51"/>
        <v>7.081</v>
      </c>
      <c r="J81" s="99">
        <f t="shared" si="47"/>
        <v>7.091</v>
      </c>
      <c r="K81" s="95">
        <f t="shared" si="61"/>
        <v>7.121</v>
      </c>
      <c r="L81" s="95">
        <v>7.136</v>
      </c>
      <c r="M81" s="95">
        <f t="shared" si="62"/>
        <v>7.172</v>
      </c>
      <c r="N81" s="96">
        <f t="shared" si="41"/>
        <v>0.09</v>
      </c>
      <c r="O81" s="99">
        <f t="shared" si="35"/>
        <v>6.89</v>
      </c>
      <c r="P81" s="99">
        <f t="shared" si="49"/>
        <v>6.921</v>
      </c>
      <c r="Q81" s="99">
        <f t="shared" si="36"/>
        <v>6.971</v>
      </c>
      <c r="R81" s="99">
        <f t="shared" si="39"/>
        <v>7.016</v>
      </c>
      <c r="S81" s="95">
        <v>7.066</v>
      </c>
      <c r="T81" s="99">
        <f t="shared" si="56"/>
        <v>7.096</v>
      </c>
      <c r="U81" s="99"/>
      <c r="V81" s="106">
        <f t="shared" si="31"/>
        <v>0.13</v>
      </c>
      <c r="W81" s="95">
        <v>7.551</v>
      </c>
      <c r="X81" s="95">
        <v>7.571</v>
      </c>
      <c r="Y81" s="95">
        <v>7.606</v>
      </c>
      <c r="Z81" s="95">
        <v>7.626</v>
      </c>
      <c r="AA81" s="95"/>
      <c r="AB81" s="95"/>
      <c r="AC81" s="95"/>
      <c r="AD81" s="96">
        <f t="shared" si="57"/>
        <v>0.006</v>
      </c>
      <c r="AE81" s="95">
        <f t="shared" si="44"/>
        <v>1.445</v>
      </c>
      <c r="AF81" s="99">
        <f t="shared" si="19"/>
        <v>1.455</v>
      </c>
      <c r="AG81" s="102">
        <f t="shared" si="58"/>
        <v>1.47</v>
      </c>
      <c r="AH81" s="102">
        <f t="shared" si="55"/>
        <v>1.48</v>
      </c>
      <c r="AI81" s="102">
        <v>1.49</v>
      </c>
      <c r="AJ81" s="103">
        <f t="shared" si="59"/>
        <v>1.51</v>
      </c>
      <c r="AK81" s="87"/>
    </row>
    <row r="82">
      <c r="A82" s="97">
        <f t="shared" si="3"/>
        <v>78</v>
      </c>
      <c r="B82" s="92">
        <v>346.0</v>
      </c>
      <c r="C82" s="92">
        <v>350000.0</v>
      </c>
      <c r="D82" s="66">
        <f t="shared" si="1"/>
        <v>10112</v>
      </c>
      <c r="E82" s="66">
        <f t="shared" si="2"/>
        <v>6233800</v>
      </c>
      <c r="F82" s="96">
        <f t="shared" si="60"/>
        <v>0.1</v>
      </c>
      <c r="G82" s="99">
        <f t="shared" si="45"/>
        <v>7.151</v>
      </c>
      <c r="H82" s="99">
        <f t="shared" si="46"/>
        <v>7.161</v>
      </c>
      <c r="I82" s="95">
        <f t="shared" si="51"/>
        <v>7.181</v>
      </c>
      <c r="J82" s="99">
        <f t="shared" si="47"/>
        <v>7.191</v>
      </c>
      <c r="K82" s="95">
        <f t="shared" si="61"/>
        <v>7.221</v>
      </c>
      <c r="L82" s="95">
        <v>7.236</v>
      </c>
      <c r="M82" s="95">
        <f t="shared" si="62"/>
        <v>7.272</v>
      </c>
      <c r="N82" s="96">
        <f t="shared" si="41"/>
        <v>0.09</v>
      </c>
      <c r="O82" s="99">
        <f t="shared" si="35"/>
        <v>6.98</v>
      </c>
      <c r="P82" s="99">
        <f t="shared" si="49"/>
        <v>7.011</v>
      </c>
      <c r="Q82" s="99">
        <f t="shared" si="36"/>
        <v>7.061</v>
      </c>
      <c r="R82" s="99">
        <f t="shared" si="39"/>
        <v>7.106</v>
      </c>
      <c r="S82" s="95">
        <v>7.156</v>
      </c>
      <c r="T82" s="99">
        <f t="shared" si="56"/>
        <v>7.186</v>
      </c>
      <c r="U82" s="99"/>
      <c r="V82" s="96">
        <f t="shared" si="31"/>
        <v>0.131</v>
      </c>
      <c r="W82" s="95">
        <v>7.682</v>
      </c>
      <c r="X82" s="95">
        <v>7.702</v>
      </c>
      <c r="Y82" s="95">
        <v>7.737</v>
      </c>
      <c r="Z82" s="95">
        <v>7.757</v>
      </c>
      <c r="AA82" s="95">
        <v>7.787</v>
      </c>
      <c r="AB82" s="95">
        <v>7.807</v>
      </c>
      <c r="AC82" s="95">
        <v>7.847</v>
      </c>
      <c r="AD82" s="96">
        <f t="shared" si="57"/>
        <v>0.006</v>
      </c>
      <c r="AE82" s="95">
        <f t="shared" si="44"/>
        <v>1.451</v>
      </c>
      <c r="AF82" s="99">
        <f t="shared" si="19"/>
        <v>1.461</v>
      </c>
      <c r="AG82" s="102">
        <f t="shared" si="58"/>
        <v>1.476</v>
      </c>
      <c r="AH82" s="102">
        <f t="shared" si="55"/>
        <v>1.486</v>
      </c>
      <c r="AI82" s="102">
        <v>1.496</v>
      </c>
      <c r="AJ82" s="103">
        <f t="shared" si="59"/>
        <v>1.516</v>
      </c>
      <c r="AK82" s="87"/>
    </row>
    <row r="83">
      <c r="A83" s="97">
        <f t="shared" si="3"/>
        <v>79</v>
      </c>
      <c r="B83" s="92">
        <v>346.0</v>
      </c>
      <c r="C83" s="92">
        <v>900000.0</v>
      </c>
      <c r="D83" s="66">
        <f t="shared" si="1"/>
        <v>10458</v>
      </c>
      <c r="E83" s="66">
        <f t="shared" si="2"/>
        <v>7133800</v>
      </c>
      <c r="F83" s="96">
        <f t="shared" si="60"/>
        <v>0.1</v>
      </c>
      <c r="G83" s="99">
        <f t="shared" si="45"/>
        <v>7.251</v>
      </c>
      <c r="H83" s="99">
        <f t="shared" si="46"/>
        <v>7.261</v>
      </c>
      <c r="I83" s="95">
        <f t="shared" si="51"/>
        <v>7.281</v>
      </c>
      <c r="J83" s="99">
        <f t="shared" si="47"/>
        <v>7.291</v>
      </c>
      <c r="K83" s="95">
        <f t="shared" si="61"/>
        <v>7.321</v>
      </c>
      <c r="L83" s="95">
        <v>7.336</v>
      </c>
      <c r="M83" s="95">
        <f t="shared" si="62"/>
        <v>7.372</v>
      </c>
      <c r="N83" s="96">
        <f t="shared" si="41"/>
        <v>0.09</v>
      </c>
      <c r="O83" s="99">
        <f t="shared" si="35"/>
        <v>7.07</v>
      </c>
      <c r="P83" s="99">
        <f t="shared" si="49"/>
        <v>7.101</v>
      </c>
      <c r="Q83" s="99">
        <f t="shared" si="36"/>
        <v>7.151</v>
      </c>
      <c r="R83" s="99">
        <f t="shared" si="39"/>
        <v>7.196</v>
      </c>
      <c r="S83" s="95">
        <v>7.246</v>
      </c>
      <c r="T83" s="99">
        <f t="shared" si="56"/>
        <v>7.276</v>
      </c>
      <c r="U83" s="99"/>
      <c r="V83" s="96">
        <f t="shared" si="31"/>
        <v>0.13</v>
      </c>
      <c r="W83" s="95">
        <v>7.812</v>
      </c>
      <c r="X83" s="95">
        <v>7.832</v>
      </c>
      <c r="Y83" s="95">
        <v>7.867</v>
      </c>
      <c r="Z83" s="95">
        <f>Y83+0.02</f>
        <v>7.887</v>
      </c>
      <c r="AA83" s="95">
        <f>Z83+0.03</f>
        <v>7.917</v>
      </c>
      <c r="AB83" s="95">
        <v>7.937</v>
      </c>
      <c r="AC83" s="95">
        <v>7.977</v>
      </c>
      <c r="AD83" s="100">
        <f t="shared" si="57"/>
        <v>0.008</v>
      </c>
      <c r="AE83" s="95">
        <f t="shared" si="44"/>
        <v>1.459</v>
      </c>
      <c r="AF83" s="99">
        <f t="shared" si="19"/>
        <v>1.469</v>
      </c>
      <c r="AG83" s="102">
        <f t="shared" si="58"/>
        <v>1.484</v>
      </c>
      <c r="AH83" s="102">
        <f t="shared" si="55"/>
        <v>1.494</v>
      </c>
      <c r="AI83" s="102">
        <v>1.504</v>
      </c>
      <c r="AJ83" s="103">
        <f t="shared" si="59"/>
        <v>1.524</v>
      </c>
      <c r="AK83" s="87"/>
    </row>
    <row r="84">
      <c r="A84" s="97">
        <f t="shared" si="3"/>
        <v>80</v>
      </c>
      <c r="B84" s="92">
        <v>495.0</v>
      </c>
      <c r="C84" s="92">
        <v>900000.0</v>
      </c>
      <c r="D84" s="66">
        <f t="shared" si="1"/>
        <v>10953</v>
      </c>
      <c r="E84" s="66">
        <f t="shared" si="2"/>
        <v>8033800</v>
      </c>
      <c r="F84" s="100">
        <f t="shared" si="60"/>
        <v>0.11</v>
      </c>
      <c r="G84" s="99">
        <f t="shared" si="45"/>
        <v>7.361</v>
      </c>
      <c r="H84" s="99">
        <f t="shared" si="46"/>
        <v>7.371</v>
      </c>
      <c r="I84" s="95">
        <f t="shared" si="51"/>
        <v>7.391</v>
      </c>
      <c r="J84" s="99">
        <f t="shared" si="47"/>
        <v>7.401</v>
      </c>
      <c r="K84" s="95">
        <f t="shared" si="61"/>
        <v>7.431</v>
      </c>
      <c r="L84" s="95">
        <v>7.446</v>
      </c>
      <c r="M84" s="95">
        <f t="shared" si="62"/>
        <v>7.482</v>
      </c>
      <c r="N84" s="100">
        <f t="shared" si="41"/>
        <v>0.1</v>
      </c>
      <c r="O84" s="99">
        <f t="shared" si="35"/>
        <v>7.17</v>
      </c>
      <c r="P84" s="99">
        <f t="shared" si="49"/>
        <v>7.201</v>
      </c>
      <c r="Q84" s="99">
        <f t="shared" si="36"/>
        <v>7.251</v>
      </c>
      <c r="R84" s="99">
        <f t="shared" si="39"/>
        <v>7.296</v>
      </c>
      <c r="S84" s="95">
        <v>7.346</v>
      </c>
      <c r="T84" s="99">
        <f t="shared" si="56"/>
        <v>7.376</v>
      </c>
      <c r="U84" s="95">
        <v>7.421</v>
      </c>
      <c r="V84" s="98">
        <f t="shared" si="31"/>
        <v>0.903</v>
      </c>
      <c r="W84" s="95">
        <v>8.715</v>
      </c>
      <c r="X84" s="95">
        <v>8.735</v>
      </c>
      <c r="Y84" s="95">
        <v>8.77</v>
      </c>
      <c r="Z84" s="99">
        <f t="shared" ref="Z84:Z86" si="63">Z85-V85</f>
        <v>8.79</v>
      </c>
      <c r="AA84" s="99">
        <f t="shared" ref="AA84:AA86" si="64">AA85-V85</f>
        <v>8.82</v>
      </c>
      <c r="AB84" s="95">
        <v>8.84</v>
      </c>
      <c r="AC84" s="95">
        <v>8.88</v>
      </c>
      <c r="AD84" s="107">
        <f t="shared" si="57"/>
        <v>0.006</v>
      </c>
      <c r="AE84" s="95">
        <f t="shared" si="44"/>
        <v>1.465</v>
      </c>
      <c r="AF84" s="99">
        <f t="shared" si="19"/>
        <v>1.475</v>
      </c>
      <c r="AG84" s="102">
        <f t="shared" si="58"/>
        <v>1.49</v>
      </c>
      <c r="AH84" s="102">
        <f t="shared" si="55"/>
        <v>1.5</v>
      </c>
      <c r="AI84" s="102">
        <v>1.51</v>
      </c>
      <c r="AJ84" s="103">
        <f t="shared" si="59"/>
        <v>1.53</v>
      </c>
      <c r="AK84" s="102">
        <v>1.55</v>
      </c>
    </row>
    <row r="85">
      <c r="A85" s="97">
        <f t="shared" si="3"/>
        <v>81</v>
      </c>
      <c r="B85" s="92">
        <v>495.0</v>
      </c>
      <c r="C85" s="92">
        <v>900000.0</v>
      </c>
      <c r="D85" s="66">
        <f t="shared" si="1"/>
        <v>11448</v>
      </c>
      <c r="E85" s="66">
        <f t="shared" si="2"/>
        <v>8933800</v>
      </c>
      <c r="F85" s="96">
        <f t="shared" si="60"/>
        <v>0.11</v>
      </c>
      <c r="G85" s="99">
        <f t="shared" si="45"/>
        <v>7.471</v>
      </c>
      <c r="H85" s="99">
        <f t="shared" si="46"/>
        <v>7.481</v>
      </c>
      <c r="I85" s="95">
        <f t="shared" si="51"/>
        <v>7.501</v>
      </c>
      <c r="J85" s="99">
        <f t="shared" si="47"/>
        <v>7.511</v>
      </c>
      <c r="K85" s="95">
        <f t="shared" si="61"/>
        <v>7.541</v>
      </c>
      <c r="L85" s="95">
        <v>7.556</v>
      </c>
      <c r="M85" s="95">
        <f t="shared" si="62"/>
        <v>7.592</v>
      </c>
      <c r="N85" s="96">
        <f t="shared" si="41"/>
        <v>0.1</v>
      </c>
      <c r="O85" s="99">
        <f t="shared" si="35"/>
        <v>7.27</v>
      </c>
      <c r="P85" s="99">
        <f t="shared" si="49"/>
        <v>7.301</v>
      </c>
      <c r="Q85" s="99">
        <f t="shared" si="36"/>
        <v>7.351</v>
      </c>
      <c r="R85" s="99">
        <f t="shared" si="39"/>
        <v>7.396</v>
      </c>
      <c r="S85" s="99">
        <f t="shared" ref="S85:S89" si="65">T85-0.03</f>
        <v>7.446</v>
      </c>
      <c r="T85" s="95">
        <v>7.476</v>
      </c>
      <c r="U85" s="95">
        <f t="shared" ref="U85:U89" si="66">T85+0.045</f>
        <v>7.521</v>
      </c>
      <c r="V85" s="100">
        <f t="shared" ref="V85:V93" si="67">AB85-AB84</f>
        <v>0.155</v>
      </c>
      <c r="W85" s="95">
        <v>8.87</v>
      </c>
      <c r="X85" s="95">
        <v>8.89</v>
      </c>
      <c r="Y85" s="95">
        <v>8.925</v>
      </c>
      <c r="Z85" s="99">
        <f t="shared" si="63"/>
        <v>8.945</v>
      </c>
      <c r="AA85" s="99">
        <f t="shared" si="64"/>
        <v>8.975</v>
      </c>
      <c r="AB85" s="95">
        <v>8.995</v>
      </c>
      <c r="AC85" s="95">
        <v>9.035</v>
      </c>
      <c r="AD85" s="96">
        <f t="shared" si="57"/>
        <v>0.006</v>
      </c>
      <c r="AE85" s="95">
        <f t="shared" si="44"/>
        <v>1.471</v>
      </c>
      <c r="AF85" s="99">
        <f t="shared" si="19"/>
        <v>1.481</v>
      </c>
      <c r="AG85" s="102">
        <f t="shared" si="58"/>
        <v>1.496</v>
      </c>
      <c r="AH85" s="102">
        <f t="shared" si="55"/>
        <v>1.506</v>
      </c>
      <c r="AI85" s="102">
        <f t="shared" ref="AI85:AI91" si="68">AJ85-0.02</f>
        <v>1.516</v>
      </c>
      <c r="AJ85" s="8">
        <v>1.536</v>
      </c>
      <c r="AK85" s="103">
        <f t="shared" ref="AK85:AK91" si="69">AJ85+0.02</f>
        <v>1.556</v>
      </c>
    </row>
    <row r="86">
      <c r="A86" s="97">
        <f t="shared" si="3"/>
        <v>82</v>
      </c>
      <c r="B86" s="92">
        <v>495.0</v>
      </c>
      <c r="C86" s="92">
        <v>900000.0</v>
      </c>
      <c r="D86" s="66">
        <f t="shared" si="1"/>
        <v>11943</v>
      </c>
      <c r="E86" s="66">
        <f t="shared" si="2"/>
        <v>9833800</v>
      </c>
      <c r="F86" s="96">
        <f t="shared" si="60"/>
        <v>0.11</v>
      </c>
      <c r="G86" s="95">
        <v>7.581</v>
      </c>
      <c r="H86" s="99">
        <f t="shared" si="46"/>
        <v>7.591</v>
      </c>
      <c r="I86" s="95">
        <f t="shared" si="51"/>
        <v>7.611</v>
      </c>
      <c r="J86" s="99">
        <f t="shared" si="47"/>
        <v>7.621</v>
      </c>
      <c r="K86" s="95">
        <f t="shared" si="61"/>
        <v>7.651</v>
      </c>
      <c r="L86" s="95">
        <v>7.666</v>
      </c>
      <c r="M86" s="95">
        <f t="shared" si="62"/>
        <v>7.702</v>
      </c>
      <c r="N86" s="96">
        <f t="shared" si="41"/>
        <v>0.1</v>
      </c>
      <c r="O86" s="99">
        <f t="shared" si="35"/>
        <v>7.37</v>
      </c>
      <c r="P86" s="99">
        <f t="shared" si="49"/>
        <v>7.401</v>
      </c>
      <c r="Q86" s="99">
        <f t="shared" si="36"/>
        <v>7.451</v>
      </c>
      <c r="R86" s="99">
        <f t="shared" si="39"/>
        <v>7.496</v>
      </c>
      <c r="S86" s="99">
        <f t="shared" si="65"/>
        <v>7.546</v>
      </c>
      <c r="T86" s="95">
        <v>7.576</v>
      </c>
      <c r="U86" s="95">
        <f t="shared" si="66"/>
        <v>7.621</v>
      </c>
      <c r="V86" s="96">
        <f t="shared" si="67"/>
        <v>0.155</v>
      </c>
      <c r="W86" s="95">
        <v>9.025</v>
      </c>
      <c r="X86" s="95">
        <v>9.045</v>
      </c>
      <c r="Y86" s="95">
        <v>9.08</v>
      </c>
      <c r="Z86" s="99">
        <f t="shared" si="63"/>
        <v>9.1</v>
      </c>
      <c r="AA86" s="99">
        <f t="shared" si="64"/>
        <v>9.13</v>
      </c>
      <c r="AB86" s="95">
        <v>9.15</v>
      </c>
      <c r="AC86" s="95">
        <v>9.19</v>
      </c>
      <c r="AD86" s="96">
        <f t="shared" si="57"/>
        <v>0.006</v>
      </c>
      <c r="AE86" s="95">
        <f t="shared" si="44"/>
        <v>1.477</v>
      </c>
      <c r="AF86" s="99">
        <f t="shared" si="19"/>
        <v>1.487</v>
      </c>
      <c r="AG86" s="102">
        <f t="shared" si="58"/>
        <v>1.502</v>
      </c>
      <c r="AH86" s="102">
        <f t="shared" si="55"/>
        <v>1.512</v>
      </c>
      <c r="AI86" s="102">
        <f t="shared" si="68"/>
        <v>1.522</v>
      </c>
      <c r="AJ86" s="8">
        <v>1.542</v>
      </c>
      <c r="AK86" s="103">
        <f t="shared" si="69"/>
        <v>1.562</v>
      </c>
    </row>
    <row r="87">
      <c r="A87" s="97">
        <f t="shared" si="3"/>
        <v>83</v>
      </c>
      <c r="B87" s="92">
        <v>495.0</v>
      </c>
      <c r="C87" s="92">
        <v>900000.0</v>
      </c>
      <c r="D87" s="66">
        <f t="shared" si="1"/>
        <v>12438</v>
      </c>
      <c r="E87" s="66">
        <f t="shared" si="2"/>
        <v>10733800</v>
      </c>
      <c r="F87" s="96">
        <f t="shared" si="60"/>
        <v>0.11</v>
      </c>
      <c r="G87" s="95">
        <v>7.691</v>
      </c>
      <c r="H87" s="99">
        <f t="shared" si="46"/>
        <v>7.701</v>
      </c>
      <c r="I87" s="95">
        <f t="shared" si="51"/>
        <v>7.721</v>
      </c>
      <c r="J87" s="99">
        <f t="shared" si="47"/>
        <v>7.731</v>
      </c>
      <c r="K87" s="95">
        <f t="shared" si="61"/>
        <v>7.761</v>
      </c>
      <c r="L87" s="95">
        <v>7.776</v>
      </c>
      <c r="M87" s="95">
        <f t="shared" si="62"/>
        <v>7.812</v>
      </c>
      <c r="N87" s="96">
        <f t="shared" si="41"/>
        <v>0.1</v>
      </c>
      <c r="O87" s="99">
        <f t="shared" si="35"/>
        <v>7.47</v>
      </c>
      <c r="P87" s="99">
        <f t="shared" si="49"/>
        <v>7.501</v>
      </c>
      <c r="Q87" s="99">
        <f t="shared" si="36"/>
        <v>7.551</v>
      </c>
      <c r="R87" s="99">
        <f t="shared" si="39"/>
        <v>7.596</v>
      </c>
      <c r="S87" s="99">
        <f t="shared" si="65"/>
        <v>7.646</v>
      </c>
      <c r="T87" s="95">
        <v>7.676</v>
      </c>
      <c r="U87" s="95">
        <f t="shared" si="66"/>
        <v>7.721</v>
      </c>
      <c r="V87" s="96">
        <f t="shared" si="67"/>
        <v>0.155</v>
      </c>
      <c r="W87" s="95">
        <v>9.18</v>
      </c>
      <c r="X87" s="95">
        <v>9.2</v>
      </c>
      <c r="Y87" s="95">
        <v>9.235</v>
      </c>
      <c r="Z87" s="95">
        <v>9.255</v>
      </c>
      <c r="AA87" s="95">
        <v>9.285</v>
      </c>
      <c r="AB87" s="95">
        <v>9.305</v>
      </c>
      <c r="AC87" s="95">
        <v>9.345</v>
      </c>
      <c r="AD87" s="96">
        <f t="shared" si="57"/>
        <v>0.006</v>
      </c>
      <c r="AE87" s="95">
        <f t="shared" si="44"/>
        <v>1.483</v>
      </c>
      <c r="AF87" s="99">
        <f t="shared" si="19"/>
        <v>1.493</v>
      </c>
      <c r="AG87" s="102">
        <f t="shared" si="58"/>
        <v>1.508</v>
      </c>
      <c r="AH87" s="102">
        <f t="shared" si="55"/>
        <v>1.518</v>
      </c>
      <c r="AI87" s="102">
        <f t="shared" si="68"/>
        <v>1.528</v>
      </c>
      <c r="AJ87" s="8">
        <v>1.548</v>
      </c>
      <c r="AK87" s="103">
        <f t="shared" si="69"/>
        <v>1.568</v>
      </c>
    </row>
    <row r="88">
      <c r="A88" s="97">
        <f t="shared" si="3"/>
        <v>84</v>
      </c>
      <c r="B88" s="92">
        <v>495.0</v>
      </c>
      <c r="C88" s="92">
        <v>900000.0</v>
      </c>
      <c r="D88" s="66">
        <f t="shared" si="1"/>
        <v>12933</v>
      </c>
      <c r="E88" s="66">
        <f t="shared" si="2"/>
        <v>11633800</v>
      </c>
      <c r="F88" s="96">
        <f t="shared" si="60"/>
        <v>0.11</v>
      </c>
      <c r="G88" s="95">
        <f t="shared" ref="G88:G91" si="70">H88-0.01</f>
        <v>7.801</v>
      </c>
      <c r="H88" s="99">
        <f t="shared" si="46"/>
        <v>7.811</v>
      </c>
      <c r="I88" s="95">
        <f t="shared" si="51"/>
        <v>7.831</v>
      </c>
      <c r="J88" s="99">
        <f t="shared" si="47"/>
        <v>7.841</v>
      </c>
      <c r="K88" s="95">
        <f t="shared" si="61"/>
        <v>7.871</v>
      </c>
      <c r="L88" s="95">
        <v>7.886</v>
      </c>
      <c r="M88" s="95">
        <f t="shared" si="62"/>
        <v>7.922</v>
      </c>
      <c r="N88" s="96">
        <f t="shared" si="41"/>
        <v>0.1</v>
      </c>
      <c r="O88" s="99">
        <f t="shared" si="35"/>
        <v>7.57</v>
      </c>
      <c r="P88" s="99">
        <f t="shared" si="49"/>
        <v>7.601</v>
      </c>
      <c r="Q88" s="99">
        <f t="shared" si="36"/>
        <v>7.651</v>
      </c>
      <c r="R88" s="99">
        <f t="shared" si="39"/>
        <v>7.696</v>
      </c>
      <c r="S88" s="99">
        <f t="shared" si="65"/>
        <v>7.746</v>
      </c>
      <c r="T88" s="95">
        <v>7.776</v>
      </c>
      <c r="U88" s="95">
        <f t="shared" si="66"/>
        <v>7.821</v>
      </c>
      <c r="V88" s="96">
        <f t="shared" si="67"/>
        <v>0.155</v>
      </c>
      <c r="W88" s="95">
        <v>9.335</v>
      </c>
      <c r="X88" s="95">
        <v>9.355</v>
      </c>
      <c r="Y88" s="95">
        <v>9.39</v>
      </c>
      <c r="Z88" s="95">
        <v>9.41</v>
      </c>
      <c r="AA88" s="95">
        <v>9.44</v>
      </c>
      <c r="AB88" s="95">
        <v>9.46</v>
      </c>
      <c r="AC88" s="95">
        <v>9.5</v>
      </c>
      <c r="AD88" s="96">
        <f t="shared" si="57"/>
        <v>0.006</v>
      </c>
      <c r="AE88" s="95">
        <f t="shared" si="44"/>
        <v>1.489</v>
      </c>
      <c r="AF88" s="99">
        <f t="shared" si="19"/>
        <v>1.499</v>
      </c>
      <c r="AG88" s="102">
        <f t="shared" si="58"/>
        <v>1.514</v>
      </c>
      <c r="AH88" s="102">
        <f t="shared" si="55"/>
        <v>1.524</v>
      </c>
      <c r="AI88" s="102">
        <f t="shared" si="68"/>
        <v>1.534</v>
      </c>
      <c r="AJ88" s="8">
        <v>1.554</v>
      </c>
      <c r="AK88" s="103">
        <f t="shared" si="69"/>
        <v>1.574</v>
      </c>
    </row>
    <row r="89">
      <c r="A89" s="97">
        <f t="shared" si="3"/>
        <v>85</v>
      </c>
      <c r="B89" s="92">
        <v>495.0</v>
      </c>
      <c r="C89" s="92">
        <v>900000.0</v>
      </c>
      <c r="D89" s="66">
        <f t="shared" si="1"/>
        <v>13428</v>
      </c>
      <c r="E89" s="66">
        <f t="shared" si="2"/>
        <v>12533800</v>
      </c>
      <c r="F89" s="96">
        <f t="shared" si="60"/>
        <v>0.11</v>
      </c>
      <c r="G89" s="95">
        <f t="shared" si="70"/>
        <v>7.911</v>
      </c>
      <c r="H89" s="99">
        <f t="shared" si="46"/>
        <v>7.921</v>
      </c>
      <c r="I89" s="95">
        <f t="shared" si="51"/>
        <v>7.941</v>
      </c>
      <c r="J89" s="99">
        <f t="shared" si="47"/>
        <v>7.951</v>
      </c>
      <c r="K89" s="95">
        <f t="shared" si="61"/>
        <v>7.981</v>
      </c>
      <c r="L89" s="95">
        <v>7.996</v>
      </c>
      <c r="M89" s="95">
        <f t="shared" si="62"/>
        <v>8.032</v>
      </c>
      <c r="N89" s="96">
        <f t="shared" si="41"/>
        <v>0.1</v>
      </c>
      <c r="O89" s="99">
        <f t="shared" si="35"/>
        <v>7.67</v>
      </c>
      <c r="P89" s="99">
        <f t="shared" si="49"/>
        <v>7.701</v>
      </c>
      <c r="Q89" s="99">
        <f t="shared" si="36"/>
        <v>7.751</v>
      </c>
      <c r="R89" s="99">
        <f t="shared" si="39"/>
        <v>7.796</v>
      </c>
      <c r="S89" s="99">
        <f t="shared" si="65"/>
        <v>7.846</v>
      </c>
      <c r="T89" s="95">
        <v>7.876</v>
      </c>
      <c r="U89" s="95">
        <f t="shared" si="66"/>
        <v>7.921</v>
      </c>
      <c r="V89" s="96">
        <f t="shared" si="67"/>
        <v>0.155</v>
      </c>
      <c r="W89" s="95">
        <v>9.49</v>
      </c>
      <c r="X89" s="95">
        <v>9.51</v>
      </c>
      <c r="Y89" s="95">
        <v>9.545</v>
      </c>
      <c r="Z89" s="95">
        <v>9.565</v>
      </c>
      <c r="AA89" s="95">
        <v>9.595</v>
      </c>
      <c r="AB89" s="95">
        <v>9.615</v>
      </c>
      <c r="AC89" s="95">
        <v>9.655</v>
      </c>
      <c r="AD89" s="96">
        <f t="shared" si="57"/>
        <v>0.006</v>
      </c>
      <c r="AE89" s="95">
        <f t="shared" si="44"/>
        <v>1.495</v>
      </c>
      <c r="AF89" s="99">
        <f t="shared" si="19"/>
        <v>1.505</v>
      </c>
      <c r="AG89" s="102">
        <f t="shared" si="58"/>
        <v>1.52</v>
      </c>
      <c r="AH89" s="102">
        <f t="shared" si="55"/>
        <v>1.53</v>
      </c>
      <c r="AI89" s="102">
        <f t="shared" si="68"/>
        <v>1.54</v>
      </c>
      <c r="AJ89" s="102">
        <v>1.56</v>
      </c>
      <c r="AK89" s="103">
        <f t="shared" si="69"/>
        <v>1.58</v>
      </c>
    </row>
    <row r="90">
      <c r="A90" s="97">
        <f t="shared" si="3"/>
        <v>86</v>
      </c>
      <c r="B90" s="92">
        <v>495.0</v>
      </c>
      <c r="C90" s="92">
        <v>900000.0</v>
      </c>
      <c r="D90" s="66">
        <f t="shared" si="1"/>
        <v>13923</v>
      </c>
      <c r="E90" s="66">
        <f t="shared" si="2"/>
        <v>13433800</v>
      </c>
      <c r="F90" s="96">
        <f t="shared" si="60"/>
        <v>0.11</v>
      </c>
      <c r="G90" s="95">
        <f t="shared" si="70"/>
        <v>8.021</v>
      </c>
      <c r="H90" s="99">
        <f t="shared" si="46"/>
        <v>8.031</v>
      </c>
      <c r="I90" s="95">
        <f t="shared" si="51"/>
        <v>8.051</v>
      </c>
      <c r="J90" s="99">
        <f t="shared" si="47"/>
        <v>8.061</v>
      </c>
      <c r="K90" s="95">
        <f t="shared" si="61"/>
        <v>8.091</v>
      </c>
      <c r="L90" s="95">
        <v>8.106</v>
      </c>
      <c r="M90" s="95">
        <f t="shared" si="62"/>
        <v>8.142</v>
      </c>
      <c r="N90" s="96"/>
      <c r="O90" s="96"/>
      <c r="P90" s="96"/>
      <c r="Q90" s="96"/>
      <c r="R90" s="96"/>
      <c r="S90" s="96"/>
      <c r="T90" s="96"/>
      <c r="U90" s="96"/>
      <c r="V90" s="96">
        <f t="shared" si="67"/>
        <v>0.155</v>
      </c>
      <c r="W90" s="99">
        <f t="shared" ref="W90:AA90" si="71">W89+$V90</f>
        <v>9.645</v>
      </c>
      <c r="X90" s="99">
        <f t="shared" si="71"/>
        <v>9.665</v>
      </c>
      <c r="Y90" s="99">
        <f t="shared" si="71"/>
        <v>9.7</v>
      </c>
      <c r="Z90" s="99">
        <f t="shared" si="71"/>
        <v>9.72</v>
      </c>
      <c r="AA90" s="99">
        <f t="shared" si="71"/>
        <v>9.75</v>
      </c>
      <c r="AB90" s="95">
        <v>9.77</v>
      </c>
      <c r="AC90" s="99">
        <f t="shared" ref="AC90:AC93" si="73">AC89+$V90</f>
        <v>9.81</v>
      </c>
      <c r="AD90" s="96">
        <f t="shared" si="57"/>
        <v>0.006</v>
      </c>
      <c r="AE90" s="95">
        <f t="shared" si="44"/>
        <v>1.501</v>
      </c>
      <c r="AF90" s="99">
        <f t="shared" si="19"/>
        <v>1.511</v>
      </c>
      <c r="AG90" s="102">
        <f t="shared" si="58"/>
        <v>1.526</v>
      </c>
      <c r="AH90" s="102">
        <f t="shared" si="55"/>
        <v>1.536</v>
      </c>
      <c r="AI90" s="102">
        <f t="shared" si="68"/>
        <v>1.546</v>
      </c>
      <c r="AJ90" s="4">
        <v>1.566</v>
      </c>
      <c r="AK90" s="103">
        <f t="shared" si="69"/>
        <v>1.586</v>
      </c>
    </row>
    <row r="91">
      <c r="A91" s="97">
        <f t="shared" si="3"/>
        <v>87</v>
      </c>
      <c r="B91" s="92">
        <v>495.0</v>
      </c>
      <c r="C91" s="92">
        <v>900000.0</v>
      </c>
      <c r="D91" s="66">
        <f t="shared" si="1"/>
        <v>14418</v>
      </c>
      <c r="E91" s="66">
        <f t="shared" si="2"/>
        <v>14333800</v>
      </c>
      <c r="F91" s="96">
        <f t="shared" si="60"/>
        <v>0.11</v>
      </c>
      <c r="G91" s="95">
        <f t="shared" si="70"/>
        <v>8.131</v>
      </c>
      <c r="H91" s="99">
        <f t="shared" si="46"/>
        <v>8.141</v>
      </c>
      <c r="I91" s="95">
        <f t="shared" si="51"/>
        <v>8.161</v>
      </c>
      <c r="J91" s="99">
        <f t="shared" si="47"/>
        <v>8.171</v>
      </c>
      <c r="K91" s="95">
        <f t="shared" si="61"/>
        <v>8.201</v>
      </c>
      <c r="L91" s="94">
        <v>8.216</v>
      </c>
      <c r="M91" s="95">
        <f t="shared" si="62"/>
        <v>8.252</v>
      </c>
      <c r="N91" s="96"/>
      <c r="O91" s="96"/>
      <c r="P91" s="96"/>
      <c r="Q91" s="96"/>
      <c r="R91" s="96"/>
      <c r="S91" s="96"/>
      <c r="T91" s="96"/>
      <c r="U91" s="96"/>
      <c r="V91" s="96">
        <f t="shared" si="67"/>
        <v>0.155</v>
      </c>
      <c r="W91" s="99">
        <f t="shared" ref="W91:AA91" si="72">W90+$V91</f>
        <v>9.8</v>
      </c>
      <c r="X91" s="99">
        <f t="shared" si="72"/>
        <v>9.82</v>
      </c>
      <c r="Y91" s="99">
        <f t="shared" si="72"/>
        <v>9.855</v>
      </c>
      <c r="Z91" s="99">
        <f t="shared" si="72"/>
        <v>9.875</v>
      </c>
      <c r="AA91" s="99">
        <f t="shared" si="72"/>
        <v>9.905</v>
      </c>
      <c r="AB91" s="95">
        <v>9.925</v>
      </c>
      <c r="AC91" s="99">
        <f t="shared" si="73"/>
        <v>9.965</v>
      </c>
      <c r="AD91" s="96">
        <f t="shared" si="57"/>
        <v>0.006</v>
      </c>
      <c r="AE91" s="95">
        <f t="shared" si="44"/>
        <v>1.507</v>
      </c>
      <c r="AF91" s="99">
        <f t="shared" si="19"/>
        <v>1.517</v>
      </c>
      <c r="AG91" s="102">
        <f t="shared" si="58"/>
        <v>1.532</v>
      </c>
      <c r="AH91" s="102">
        <f t="shared" si="55"/>
        <v>1.542</v>
      </c>
      <c r="AI91" s="102">
        <f t="shared" si="68"/>
        <v>1.552</v>
      </c>
      <c r="AJ91" s="4">
        <v>1.572</v>
      </c>
      <c r="AK91" s="103">
        <f t="shared" si="69"/>
        <v>1.592</v>
      </c>
    </row>
    <row r="92">
      <c r="A92" s="97">
        <f t="shared" si="3"/>
        <v>88</v>
      </c>
      <c r="B92" s="92">
        <v>495.0</v>
      </c>
      <c r="C92" s="92">
        <v>900000.0</v>
      </c>
      <c r="D92" s="66">
        <f t="shared" si="1"/>
        <v>14913</v>
      </c>
      <c r="E92" s="66">
        <f t="shared" si="2"/>
        <v>15233800</v>
      </c>
      <c r="F92" s="96"/>
      <c r="G92" s="96"/>
      <c r="H92" s="96"/>
      <c r="I92" s="96"/>
      <c r="J92" s="96"/>
      <c r="K92" s="96"/>
      <c r="L92" s="96"/>
      <c r="M92" s="96"/>
      <c r="N92" s="96"/>
      <c r="O92" s="96"/>
      <c r="P92" s="96"/>
      <c r="Q92" s="96"/>
      <c r="R92" s="96"/>
      <c r="S92" s="96"/>
      <c r="T92" s="96"/>
      <c r="U92" s="96"/>
      <c r="V92" s="96">
        <f t="shared" si="67"/>
        <v>0.155</v>
      </c>
      <c r="W92" s="99">
        <f t="shared" ref="W92:AA92" si="74">W91+$V92</f>
        <v>9.955</v>
      </c>
      <c r="X92" s="99">
        <f t="shared" si="74"/>
        <v>9.975</v>
      </c>
      <c r="Y92" s="99">
        <f t="shared" si="74"/>
        <v>10.01</v>
      </c>
      <c r="Z92" s="99">
        <f t="shared" si="74"/>
        <v>10.03</v>
      </c>
      <c r="AA92" s="99">
        <f t="shared" si="74"/>
        <v>10.06</v>
      </c>
      <c r="AB92" s="95">
        <v>10.08</v>
      </c>
      <c r="AC92" s="99">
        <f t="shared" si="73"/>
        <v>10.12</v>
      </c>
      <c r="AD92" s="96"/>
      <c r="AE92" s="96"/>
      <c r="AF92" s="96"/>
      <c r="AG92" s="87"/>
      <c r="AH92" s="87"/>
      <c r="AI92" s="87"/>
      <c r="AK92" s="87"/>
    </row>
    <row r="93">
      <c r="A93" s="97">
        <f t="shared" si="3"/>
        <v>89</v>
      </c>
      <c r="B93" s="108">
        <v>495.0</v>
      </c>
      <c r="C93" s="108">
        <v>900000.0</v>
      </c>
      <c r="D93" s="66">
        <f t="shared" si="1"/>
        <v>15408</v>
      </c>
      <c r="E93" s="66">
        <f t="shared" si="2"/>
        <v>16133800</v>
      </c>
      <c r="F93" s="96"/>
      <c r="G93" s="96"/>
      <c r="H93" s="96"/>
      <c r="I93" s="96"/>
      <c r="J93" s="96"/>
      <c r="K93" s="96"/>
      <c r="L93" s="96"/>
      <c r="M93" s="96"/>
      <c r="N93" s="96"/>
      <c r="O93" s="96"/>
      <c r="P93" s="96"/>
      <c r="Q93" s="96"/>
      <c r="R93" s="96"/>
      <c r="S93" s="96"/>
      <c r="T93" s="96"/>
      <c r="U93" s="96"/>
      <c r="V93" s="96">
        <f t="shared" si="67"/>
        <v>0.15</v>
      </c>
      <c r="W93" s="109">
        <f t="shared" ref="W93:AA93" si="75">W92+$V93</f>
        <v>10.105</v>
      </c>
      <c r="X93" s="109">
        <f t="shared" si="75"/>
        <v>10.125</v>
      </c>
      <c r="Y93" s="99">
        <f t="shared" si="75"/>
        <v>10.16</v>
      </c>
      <c r="Z93" s="99">
        <f t="shared" si="75"/>
        <v>10.18</v>
      </c>
      <c r="AA93" s="99">
        <f t="shared" si="75"/>
        <v>10.21</v>
      </c>
      <c r="AB93" s="94">
        <v>10.23</v>
      </c>
      <c r="AC93" s="99">
        <f t="shared" si="73"/>
        <v>10.27</v>
      </c>
      <c r="AD93" s="96"/>
      <c r="AE93" s="96"/>
      <c r="AF93" s="96"/>
      <c r="AG93" s="87"/>
      <c r="AH93" s="87"/>
      <c r="AI93" s="87"/>
      <c r="AK93" s="87"/>
    </row>
    <row r="94">
      <c r="A94" s="97">
        <f t="shared" si="3"/>
        <v>90</v>
      </c>
      <c r="B94" s="110">
        <v>693.0</v>
      </c>
      <c r="C94" s="110">
        <v>900000.0</v>
      </c>
      <c r="D94" s="66">
        <f t="shared" si="1"/>
        <v>16101</v>
      </c>
      <c r="E94" s="66">
        <f t="shared" si="2"/>
        <v>17033800</v>
      </c>
      <c r="F94" s="96"/>
      <c r="G94" s="96"/>
      <c r="H94" s="96"/>
      <c r="I94" s="96"/>
      <c r="J94" s="96"/>
      <c r="K94" s="96"/>
      <c r="L94" s="96"/>
      <c r="M94" s="96"/>
      <c r="N94" s="96"/>
      <c r="O94" s="96"/>
      <c r="P94" s="96"/>
      <c r="Q94" s="96"/>
      <c r="R94" s="96"/>
      <c r="S94" s="96"/>
      <c r="T94" s="96"/>
      <c r="U94" s="96"/>
      <c r="V94" s="96"/>
      <c r="W94" s="96"/>
      <c r="X94" s="96"/>
      <c r="Y94" s="96"/>
      <c r="Z94" s="96"/>
      <c r="AA94" s="96"/>
      <c r="AB94" s="96"/>
      <c r="AC94" s="94">
        <v>10.43</v>
      </c>
      <c r="AD94" s="96"/>
      <c r="AE94" s="96"/>
      <c r="AF94" s="96"/>
      <c r="AG94" s="87"/>
      <c r="AH94" s="87"/>
      <c r="AI94" s="87"/>
      <c r="AK94" s="87"/>
    </row>
    <row r="95">
      <c r="A95" s="97">
        <f t="shared" si="3"/>
        <v>91</v>
      </c>
      <c r="B95" s="110">
        <v>693.0</v>
      </c>
      <c r="C95" s="110">
        <v>900000.0</v>
      </c>
      <c r="D95" s="66">
        <f t="shared" si="1"/>
        <v>16794</v>
      </c>
      <c r="E95" s="66">
        <f t="shared" si="2"/>
        <v>17933800</v>
      </c>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c r="AF95" s="96"/>
      <c r="AG95" s="87"/>
      <c r="AH95" s="87"/>
      <c r="AI95" s="87"/>
      <c r="AK95" s="87"/>
    </row>
    <row r="96">
      <c r="A96" s="97">
        <f t="shared" si="3"/>
        <v>92</v>
      </c>
      <c r="B96" s="110">
        <v>693.0</v>
      </c>
      <c r="C96" s="110">
        <v>900000.0</v>
      </c>
      <c r="D96" s="66">
        <f t="shared" si="1"/>
        <v>17487</v>
      </c>
      <c r="E96" s="66">
        <f t="shared" si="2"/>
        <v>18833800</v>
      </c>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87"/>
      <c r="AH96" s="87"/>
      <c r="AI96" s="87"/>
      <c r="AK96" s="87"/>
    </row>
    <row r="97">
      <c r="A97" s="97">
        <f t="shared" si="3"/>
        <v>93</v>
      </c>
      <c r="B97" s="110">
        <v>693.0</v>
      </c>
      <c r="C97" s="110">
        <v>900000.0</v>
      </c>
      <c r="D97" s="66">
        <f t="shared" si="1"/>
        <v>18180</v>
      </c>
      <c r="E97" s="66">
        <f t="shared" si="2"/>
        <v>19733800</v>
      </c>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c r="AE97" s="96"/>
      <c r="AF97" s="96"/>
      <c r="AG97" s="87"/>
      <c r="AH97" s="87"/>
      <c r="AI97" s="87"/>
      <c r="AK97" s="87"/>
    </row>
    <row r="98">
      <c r="A98" s="97">
        <f t="shared" si="3"/>
        <v>94</v>
      </c>
      <c r="B98" s="110">
        <v>693.0</v>
      </c>
      <c r="C98" s="110">
        <v>900000.0</v>
      </c>
      <c r="D98" s="66">
        <f t="shared" si="1"/>
        <v>18873</v>
      </c>
      <c r="E98" s="66">
        <f t="shared" si="2"/>
        <v>20633800</v>
      </c>
      <c r="F98" s="96"/>
      <c r="G98" s="96"/>
      <c r="H98" s="96"/>
      <c r="I98" s="96"/>
      <c r="J98" s="96"/>
      <c r="K98" s="96"/>
      <c r="L98" s="96"/>
      <c r="M98" s="96"/>
      <c r="N98" s="96"/>
      <c r="O98" s="96"/>
      <c r="P98" s="96"/>
      <c r="Q98" s="96"/>
      <c r="R98" s="96"/>
      <c r="S98" s="96"/>
      <c r="T98" s="96"/>
      <c r="U98" s="96"/>
      <c r="V98" s="96"/>
      <c r="W98" s="96"/>
      <c r="X98" s="96"/>
      <c r="Y98" s="96"/>
      <c r="Z98" s="96"/>
      <c r="AA98" s="96"/>
      <c r="AB98" s="96"/>
      <c r="AC98" s="96"/>
      <c r="AD98" s="96"/>
      <c r="AE98" s="96"/>
      <c r="AF98" s="96"/>
      <c r="AG98" s="87"/>
      <c r="AH98" s="87"/>
      <c r="AI98" s="87"/>
      <c r="AK98" s="87"/>
    </row>
    <row r="99">
      <c r="A99" s="97">
        <f t="shared" si="3"/>
        <v>95</v>
      </c>
      <c r="B99" s="110">
        <v>693.0</v>
      </c>
      <c r="C99" s="110">
        <v>900000.0</v>
      </c>
      <c r="D99" s="66">
        <f t="shared" si="1"/>
        <v>19566</v>
      </c>
      <c r="E99" s="66">
        <f t="shared" si="2"/>
        <v>21533800</v>
      </c>
      <c r="F99" s="96"/>
      <c r="G99" s="96"/>
      <c r="H99" s="96"/>
      <c r="I99" s="96"/>
      <c r="J99" s="96"/>
      <c r="K99" s="96"/>
      <c r="L99" s="96"/>
      <c r="M99" s="96"/>
      <c r="N99" s="96"/>
      <c r="O99" s="96"/>
      <c r="P99" s="96"/>
      <c r="Q99" s="96"/>
      <c r="R99" s="96"/>
      <c r="S99" s="96"/>
      <c r="T99" s="96"/>
      <c r="U99" s="96"/>
      <c r="V99" s="96"/>
      <c r="W99" s="96"/>
      <c r="X99" s="96"/>
      <c r="Y99" s="96"/>
      <c r="Z99" s="96"/>
      <c r="AA99" s="96"/>
      <c r="AB99" s="96"/>
      <c r="AC99" s="96"/>
      <c r="AD99" s="96"/>
      <c r="AE99" s="96"/>
      <c r="AF99" s="96"/>
      <c r="AG99" s="87"/>
      <c r="AH99" s="87"/>
      <c r="AI99" s="87"/>
      <c r="AK99" s="87"/>
    </row>
    <row r="100">
      <c r="A100" s="97">
        <f t="shared" si="3"/>
        <v>96</v>
      </c>
      <c r="B100" s="110">
        <v>693.0</v>
      </c>
      <c r="C100" s="110">
        <v>900000.0</v>
      </c>
      <c r="D100" s="66">
        <f t="shared" si="1"/>
        <v>20259</v>
      </c>
      <c r="E100" s="66">
        <f t="shared" si="2"/>
        <v>22433800</v>
      </c>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96"/>
      <c r="AE100" s="96"/>
      <c r="AF100" s="96"/>
      <c r="AG100" s="87"/>
      <c r="AH100" s="87"/>
      <c r="AI100" s="87"/>
      <c r="AK100" s="87"/>
    </row>
    <row r="101">
      <c r="A101" s="97">
        <f t="shared" si="3"/>
        <v>97</v>
      </c>
      <c r="B101" s="110">
        <v>693.0</v>
      </c>
      <c r="C101" s="110">
        <v>900000.0</v>
      </c>
      <c r="D101" s="66">
        <f t="shared" si="1"/>
        <v>20952</v>
      </c>
      <c r="E101" s="66">
        <f t="shared" si="2"/>
        <v>23333800</v>
      </c>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c r="AG101" s="87"/>
      <c r="AH101" s="87"/>
      <c r="AI101" s="87"/>
      <c r="AK101" s="87"/>
    </row>
    <row r="102">
      <c r="A102" s="97">
        <f t="shared" si="3"/>
        <v>98</v>
      </c>
      <c r="B102" s="110">
        <v>693.0</v>
      </c>
      <c r="C102" s="110">
        <v>900000.0</v>
      </c>
      <c r="D102" s="66">
        <f t="shared" si="1"/>
        <v>21645</v>
      </c>
      <c r="E102" s="66">
        <f t="shared" si="2"/>
        <v>24233800</v>
      </c>
      <c r="F102" s="96"/>
      <c r="G102" s="96"/>
      <c r="H102" s="96"/>
      <c r="I102" s="96"/>
      <c r="J102" s="96"/>
      <c r="K102" s="96"/>
      <c r="L102" s="96"/>
      <c r="M102" s="96"/>
      <c r="N102" s="96"/>
      <c r="O102" s="96"/>
      <c r="P102" s="96"/>
      <c r="Q102" s="96"/>
      <c r="R102" s="96"/>
      <c r="S102" s="96"/>
      <c r="T102" s="96"/>
      <c r="U102" s="96"/>
      <c r="V102" s="96"/>
      <c r="W102" s="96"/>
      <c r="X102" s="96"/>
      <c r="Y102" s="96"/>
      <c r="Z102" s="96"/>
      <c r="AA102" s="96"/>
      <c r="AB102" s="96"/>
      <c r="AC102" s="96"/>
      <c r="AD102" s="96"/>
      <c r="AE102" s="96"/>
      <c r="AF102" s="96"/>
      <c r="AG102" s="87"/>
      <c r="AH102" s="87"/>
      <c r="AI102" s="87"/>
      <c r="AK102" s="87"/>
    </row>
    <row r="103">
      <c r="A103" s="97">
        <f t="shared" si="3"/>
        <v>99</v>
      </c>
      <c r="B103" s="110">
        <v>693.0</v>
      </c>
      <c r="C103" s="110">
        <v>1400000.0</v>
      </c>
      <c r="D103" s="66">
        <f t="shared" si="1"/>
        <v>22338</v>
      </c>
      <c r="E103" s="66">
        <f t="shared" si="2"/>
        <v>25633800</v>
      </c>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96"/>
      <c r="AE103" s="96"/>
      <c r="AF103" s="96"/>
      <c r="AG103" s="87"/>
      <c r="AH103" s="87"/>
      <c r="AI103" s="87"/>
      <c r="AK103" s="87"/>
    </row>
    <row r="104">
      <c r="A104" s="97">
        <f t="shared" si="3"/>
        <v>100</v>
      </c>
      <c r="B104" s="110">
        <v>990.0</v>
      </c>
      <c r="C104" s="110">
        <v>1400000.0</v>
      </c>
      <c r="D104" s="66">
        <f t="shared" si="1"/>
        <v>23328</v>
      </c>
      <c r="E104" s="66">
        <f t="shared" si="2"/>
        <v>27033800</v>
      </c>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87"/>
      <c r="AH104" s="87"/>
      <c r="AI104" s="87"/>
      <c r="AK104" s="87"/>
    </row>
    <row r="105">
      <c r="A105" s="97">
        <f t="shared" si="3"/>
        <v>101</v>
      </c>
      <c r="B105" s="110">
        <v>990.0</v>
      </c>
      <c r="C105" s="110">
        <v>1400000.0</v>
      </c>
      <c r="D105" s="66">
        <f t="shared" si="1"/>
        <v>24318</v>
      </c>
      <c r="E105" s="66">
        <f t="shared" si="2"/>
        <v>28433800</v>
      </c>
      <c r="F105" s="96"/>
      <c r="G105" s="94">
        <v>9.887</v>
      </c>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c r="AE105" s="96"/>
      <c r="AF105" s="96"/>
      <c r="AG105" s="87"/>
      <c r="AH105" s="87"/>
      <c r="AI105" s="87"/>
      <c r="AK105" s="87"/>
    </row>
    <row r="106">
      <c r="A106" s="97">
        <f t="shared" si="3"/>
        <v>102</v>
      </c>
      <c r="B106" s="110">
        <v>990.0</v>
      </c>
      <c r="C106" s="110">
        <v>1400000.0</v>
      </c>
      <c r="D106" s="66">
        <f t="shared" si="1"/>
        <v>25308</v>
      </c>
      <c r="E106" s="66">
        <f t="shared" si="2"/>
        <v>29833800</v>
      </c>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96"/>
      <c r="AE106" s="96"/>
      <c r="AF106" s="96"/>
      <c r="AG106" s="87"/>
      <c r="AH106" s="87"/>
      <c r="AI106" s="87"/>
      <c r="AK106" s="87"/>
    </row>
    <row r="107">
      <c r="A107" s="97">
        <f t="shared" si="3"/>
        <v>103</v>
      </c>
      <c r="B107" s="110">
        <v>990.0</v>
      </c>
      <c r="C107" s="110">
        <v>1400000.0</v>
      </c>
      <c r="D107" s="66">
        <f t="shared" si="1"/>
        <v>26298</v>
      </c>
      <c r="E107" s="66">
        <f t="shared" si="2"/>
        <v>31233800</v>
      </c>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c r="AG107" s="87"/>
      <c r="AH107" s="87"/>
      <c r="AI107" s="87"/>
      <c r="AK107" s="87"/>
    </row>
    <row r="108">
      <c r="A108" s="97">
        <f t="shared" si="3"/>
        <v>104</v>
      </c>
      <c r="B108" s="110">
        <v>990.0</v>
      </c>
      <c r="C108" s="110">
        <v>1400000.0</v>
      </c>
      <c r="D108" s="66">
        <f t="shared" si="1"/>
        <v>27288</v>
      </c>
      <c r="E108" s="66">
        <f t="shared" si="2"/>
        <v>32633800</v>
      </c>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c r="AE108" s="96"/>
      <c r="AF108" s="96"/>
      <c r="AG108" s="87"/>
      <c r="AH108" s="87"/>
      <c r="AI108" s="87"/>
      <c r="AK108" s="87"/>
    </row>
    <row r="109">
      <c r="A109" s="97">
        <f t="shared" si="3"/>
        <v>105</v>
      </c>
      <c r="B109" s="110">
        <v>990.0</v>
      </c>
      <c r="C109" s="110">
        <v>1400000.0</v>
      </c>
      <c r="D109" s="66">
        <f t="shared" si="1"/>
        <v>28278</v>
      </c>
      <c r="E109" s="66">
        <f t="shared" si="2"/>
        <v>34033800</v>
      </c>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c r="AE109" s="96"/>
      <c r="AF109" s="96"/>
      <c r="AG109" s="87"/>
      <c r="AH109" s="87"/>
      <c r="AI109" s="87"/>
      <c r="AK109" s="87"/>
    </row>
    <row r="110">
      <c r="A110" s="97">
        <f t="shared" si="3"/>
        <v>106</v>
      </c>
      <c r="B110" s="110">
        <v>990.0</v>
      </c>
      <c r="C110" s="110">
        <v>1400000.0</v>
      </c>
      <c r="D110" s="66">
        <f t="shared" si="1"/>
        <v>29268</v>
      </c>
      <c r="E110" s="66">
        <f t="shared" si="2"/>
        <v>35433800</v>
      </c>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87"/>
      <c r="AH110" s="87"/>
      <c r="AI110" s="87"/>
      <c r="AK110" s="87"/>
    </row>
    <row r="111">
      <c r="A111" s="97">
        <f t="shared" si="3"/>
        <v>107</v>
      </c>
      <c r="B111" s="110">
        <v>990.0</v>
      </c>
      <c r="C111" s="110">
        <v>1400000.0</v>
      </c>
      <c r="D111" s="66">
        <f t="shared" si="1"/>
        <v>30258</v>
      </c>
      <c r="E111" s="66">
        <f t="shared" si="2"/>
        <v>36833800</v>
      </c>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87"/>
      <c r="AH111" s="87"/>
      <c r="AI111" s="87"/>
      <c r="AK111" s="87"/>
    </row>
    <row r="112">
      <c r="A112" s="97">
        <f t="shared" si="3"/>
        <v>108</v>
      </c>
      <c r="B112" s="110">
        <v>990.0</v>
      </c>
      <c r="C112" s="110">
        <v>1400000.0</v>
      </c>
      <c r="D112" s="66">
        <f t="shared" si="1"/>
        <v>31248</v>
      </c>
      <c r="E112" s="66">
        <f t="shared" si="2"/>
        <v>38233800</v>
      </c>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c r="AE112" s="96"/>
      <c r="AF112" s="96"/>
      <c r="AG112" s="87"/>
      <c r="AH112" s="87"/>
      <c r="AI112" s="87"/>
      <c r="AK112" s="87"/>
    </row>
    <row r="113">
      <c r="A113" s="97">
        <f t="shared" si="3"/>
        <v>109</v>
      </c>
      <c r="B113" s="110">
        <v>990.0</v>
      </c>
      <c r="C113" s="110">
        <v>1400000.0</v>
      </c>
      <c r="D113" s="66">
        <f t="shared" si="1"/>
        <v>32238</v>
      </c>
      <c r="E113" s="66">
        <f t="shared" si="2"/>
        <v>39633800</v>
      </c>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c r="AE113" s="96"/>
      <c r="AF113" s="96"/>
      <c r="AG113" s="87"/>
      <c r="AH113" s="87"/>
      <c r="AI113" s="87"/>
      <c r="AK113" s="87"/>
    </row>
    <row r="114">
      <c r="A114" s="97">
        <f t="shared" si="3"/>
        <v>110</v>
      </c>
      <c r="B114" s="110">
        <v>1287.0</v>
      </c>
      <c r="C114" s="110">
        <v>1400000.0</v>
      </c>
      <c r="D114" s="66">
        <f t="shared" si="1"/>
        <v>33525</v>
      </c>
      <c r="E114" s="66">
        <f t="shared" si="2"/>
        <v>41033800</v>
      </c>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c r="AE114" s="96"/>
      <c r="AF114" s="96"/>
      <c r="AG114" s="87"/>
      <c r="AH114" s="87"/>
      <c r="AI114" s="87"/>
      <c r="AK114" s="87"/>
    </row>
    <row r="115">
      <c r="A115" s="97">
        <f t="shared" si="3"/>
        <v>111</v>
      </c>
      <c r="B115" s="110">
        <v>1287.0</v>
      </c>
      <c r="C115" s="110">
        <v>1400000.0</v>
      </c>
      <c r="D115" s="66">
        <f t="shared" si="1"/>
        <v>34812</v>
      </c>
      <c r="E115" s="66">
        <f t="shared" si="2"/>
        <v>42433800</v>
      </c>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c r="AE115" s="96"/>
      <c r="AF115" s="96"/>
      <c r="AG115" s="87"/>
      <c r="AH115" s="87"/>
      <c r="AI115" s="87"/>
      <c r="AK115" s="87"/>
    </row>
    <row r="116">
      <c r="A116" s="97">
        <f t="shared" si="3"/>
        <v>112</v>
      </c>
      <c r="B116" s="110">
        <v>1287.0</v>
      </c>
      <c r="C116" s="110">
        <v>1400000.0</v>
      </c>
      <c r="D116" s="66">
        <f t="shared" si="1"/>
        <v>36099</v>
      </c>
      <c r="E116" s="66">
        <f t="shared" si="2"/>
        <v>43833800</v>
      </c>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87"/>
      <c r="AH116" s="87"/>
      <c r="AI116" s="87"/>
      <c r="AK116" s="87"/>
    </row>
    <row r="117">
      <c r="A117" s="97">
        <f t="shared" si="3"/>
        <v>113</v>
      </c>
      <c r="B117" s="110">
        <v>1287.0</v>
      </c>
      <c r="C117" s="110">
        <v>1400000.0</v>
      </c>
      <c r="D117" s="66">
        <f t="shared" si="1"/>
        <v>37386</v>
      </c>
      <c r="E117" s="66">
        <f t="shared" si="2"/>
        <v>45233800</v>
      </c>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c r="AE117" s="96"/>
      <c r="AF117" s="96"/>
      <c r="AG117" s="87"/>
      <c r="AH117" s="87"/>
      <c r="AI117" s="87"/>
      <c r="AK117" s="87"/>
    </row>
    <row r="118">
      <c r="A118" s="97">
        <f t="shared" si="3"/>
        <v>114</v>
      </c>
      <c r="B118" s="110">
        <v>1287.0</v>
      </c>
      <c r="C118" s="110">
        <v>1400000.0</v>
      </c>
      <c r="D118" s="66">
        <f t="shared" si="1"/>
        <v>38673</v>
      </c>
      <c r="E118" s="66">
        <f t="shared" si="2"/>
        <v>46633800</v>
      </c>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c r="AG118" s="87"/>
      <c r="AH118" s="87"/>
      <c r="AI118" s="87"/>
      <c r="AK118" s="87"/>
    </row>
    <row r="119">
      <c r="A119" s="97">
        <f t="shared" si="3"/>
        <v>115</v>
      </c>
      <c r="B119" s="110">
        <v>1287.0</v>
      </c>
      <c r="C119" s="110">
        <v>1400000.0</v>
      </c>
      <c r="D119" s="66">
        <f t="shared" si="1"/>
        <v>39960</v>
      </c>
      <c r="E119" s="66">
        <f t="shared" si="2"/>
        <v>48033800</v>
      </c>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c r="AE119" s="96"/>
      <c r="AF119" s="96"/>
      <c r="AG119" s="87"/>
      <c r="AH119" s="87"/>
      <c r="AI119" s="87"/>
      <c r="AK119" s="87"/>
    </row>
    <row r="120">
      <c r="A120" s="97">
        <f t="shared" si="3"/>
        <v>116</v>
      </c>
      <c r="B120" s="110">
        <v>1287.0</v>
      </c>
      <c r="C120" s="110">
        <v>1400000.0</v>
      </c>
      <c r="D120" s="66">
        <f t="shared" si="1"/>
        <v>41247</v>
      </c>
      <c r="E120" s="66">
        <f t="shared" si="2"/>
        <v>49433800</v>
      </c>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c r="AE120" s="96"/>
      <c r="AF120" s="96"/>
      <c r="AG120" s="87"/>
      <c r="AH120" s="87"/>
      <c r="AI120" s="87"/>
      <c r="AK120" s="87"/>
    </row>
    <row r="121">
      <c r="A121" s="97">
        <f t="shared" si="3"/>
        <v>117</v>
      </c>
      <c r="B121" s="110">
        <v>1287.0</v>
      </c>
      <c r="C121" s="110">
        <v>1400000.0</v>
      </c>
      <c r="D121" s="66">
        <f t="shared" si="1"/>
        <v>42534</v>
      </c>
      <c r="E121" s="66">
        <f t="shared" si="2"/>
        <v>50833800</v>
      </c>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87"/>
      <c r="AH121" s="87"/>
      <c r="AI121" s="87"/>
      <c r="AK121" s="87"/>
    </row>
    <row r="122">
      <c r="A122" s="97">
        <f t="shared" si="3"/>
        <v>118</v>
      </c>
      <c r="B122" s="110">
        <v>1287.0</v>
      </c>
      <c r="C122" s="110">
        <v>1400000.0</v>
      </c>
      <c r="D122" s="66">
        <f t="shared" si="1"/>
        <v>43821</v>
      </c>
      <c r="E122" s="66">
        <f t="shared" si="2"/>
        <v>52233800</v>
      </c>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c r="AE122" s="96"/>
      <c r="AF122" s="96"/>
      <c r="AG122" s="87"/>
      <c r="AH122" s="87"/>
      <c r="AI122" s="87"/>
      <c r="AK122" s="87"/>
    </row>
    <row r="123">
      <c r="A123" s="97">
        <f t="shared" si="3"/>
        <v>119</v>
      </c>
      <c r="B123" s="110">
        <v>1287.0</v>
      </c>
      <c r="C123" s="110">
        <v>3500000.0</v>
      </c>
      <c r="D123" s="66">
        <f t="shared" si="1"/>
        <v>45108</v>
      </c>
      <c r="E123" s="66">
        <f t="shared" si="2"/>
        <v>55733800</v>
      </c>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c r="AE123" s="96"/>
      <c r="AF123" s="96"/>
      <c r="AG123" s="87"/>
      <c r="AH123" s="87"/>
      <c r="AI123" s="87"/>
      <c r="AK123" s="87"/>
    </row>
    <row r="124">
      <c r="A124" s="97">
        <f t="shared" si="3"/>
        <v>120</v>
      </c>
      <c r="B124" s="110">
        <v>1782.0</v>
      </c>
      <c r="C124" s="110">
        <v>3500000.0</v>
      </c>
      <c r="D124" s="66">
        <f t="shared" si="1"/>
        <v>46890</v>
      </c>
      <c r="E124" s="66">
        <f t="shared" si="2"/>
        <v>59233800</v>
      </c>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87"/>
      <c r="AH124" s="87"/>
      <c r="AI124" s="87"/>
      <c r="AK124" s="87"/>
    </row>
    <row r="125">
      <c r="A125" s="97">
        <f t="shared" si="3"/>
        <v>121</v>
      </c>
      <c r="B125" s="110">
        <v>1782.0</v>
      </c>
      <c r="C125" s="110">
        <v>3500000.0</v>
      </c>
      <c r="D125" s="66">
        <f t="shared" si="1"/>
        <v>48672</v>
      </c>
      <c r="E125" s="66">
        <f t="shared" si="2"/>
        <v>62733800</v>
      </c>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c r="AG125" s="87"/>
      <c r="AH125" s="87"/>
      <c r="AI125" s="87"/>
      <c r="AK125" s="87"/>
    </row>
    <row r="126">
      <c r="A126" s="97">
        <f t="shared" si="3"/>
        <v>122</v>
      </c>
      <c r="B126" s="110">
        <v>1782.0</v>
      </c>
      <c r="C126" s="110">
        <v>3500000.0</v>
      </c>
      <c r="D126" s="66">
        <f t="shared" si="1"/>
        <v>50454</v>
      </c>
      <c r="E126" s="66">
        <f t="shared" si="2"/>
        <v>66233800</v>
      </c>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87"/>
      <c r="AH126" s="87"/>
      <c r="AI126" s="87"/>
      <c r="AK126" s="87"/>
    </row>
    <row r="127">
      <c r="A127" s="97">
        <f t="shared" si="3"/>
        <v>123</v>
      </c>
      <c r="B127" s="110">
        <v>1782.0</v>
      </c>
      <c r="C127" s="110">
        <v>3500000.0</v>
      </c>
      <c r="D127" s="66">
        <f t="shared" si="1"/>
        <v>52236</v>
      </c>
      <c r="E127" s="66">
        <f t="shared" si="2"/>
        <v>69733800</v>
      </c>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c r="AG127" s="87"/>
      <c r="AH127" s="87"/>
      <c r="AI127" s="87"/>
      <c r="AK127" s="87"/>
    </row>
    <row r="128">
      <c r="A128" s="97">
        <f t="shared" si="3"/>
        <v>124</v>
      </c>
      <c r="B128" s="110">
        <v>1782.0</v>
      </c>
      <c r="C128" s="110">
        <v>3500000.0</v>
      </c>
      <c r="D128" s="66">
        <f t="shared" si="1"/>
        <v>54018</v>
      </c>
      <c r="E128" s="66">
        <f t="shared" si="2"/>
        <v>73233800</v>
      </c>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87"/>
      <c r="AH128" s="87"/>
      <c r="AI128" s="87"/>
      <c r="AK128" s="87"/>
    </row>
    <row r="129">
      <c r="A129" s="97">
        <f t="shared" si="3"/>
        <v>125</v>
      </c>
      <c r="B129" s="110">
        <v>1782.0</v>
      </c>
      <c r="C129" s="110">
        <v>3500000.0</v>
      </c>
      <c r="D129" s="66">
        <f t="shared" si="1"/>
        <v>55800</v>
      </c>
      <c r="E129" s="66">
        <f t="shared" si="2"/>
        <v>76733800</v>
      </c>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87"/>
      <c r="AH129" s="87"/>
      <c r="AI129" s="87"/>
      <c r="AK129" s="87"/>
    </row>
    <row r="130">
      <c r="A130" s="97">
        <f t="shared" si="3"/>
        <v>126</v>
      </c>
      <c r="B130" s="110">
        <v>1782.0</v>
      </c>
      <c r="C130" s="110">
        <v>3500000.0</v>
      </c>
      <c r="D130" s="66">
        <f t="shared" si="1"/>
        <v>57582</v>
      </c>
      <c r="E130" s="66">
        <f t="shared" si="2"/>
        <v>80233800</v>
      </c>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c r="AG130" s="87"/>
      <c r="AH130" s="87"/>
      <c r="AI130" s="87"/>
      <c r="AK130" s="87"/>
    </row>
    <row r="131">
      <c r="A131" s="97">
        <f t="shared" si="3"/>
        <v>127</v>
      </c>
      <c r="B131" s="110">
        <v>1782.0</v>
      </c>
      <c r="C131" s="110">
        <v>3500000.0</v>
      </c>
      <c r="D131" s="66">
        <f t="shared" si="1"/>
        <v>59364</v>
      </c>
      <c r="E131" s="66">
        <f t="shared" si="2"/>
        <v>83733800</v>
      </c>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87"/>
      <c r="AH131" s="87"/>
      <c r="AI131" s="87"/>
      <c r="AK131" s="87"/>
    </row>
    <row r="132">
      <c r="A132" s="97">
        <f t="shared" si="3"/>
        <v>128</v>
      </c>
      <c r="B132" s="110">
        <v>1782.0</v>
      </c>
      <c r="C132" s="110">
        <v>3500000.0</v>
      </c>
      <c r="D132" s="66">
        <f t="shared" si="1"/>
        <v>61146</v>
      </c>
      <c r="E132" s="66">
        <f t="shared" si="2"/>
        <v>87233800</v>
      </c>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c r="AF132" s="96"/>
      <c r="AG132" s="87"/>
      <c r="AH132" s="87"/>
      <c r="AI132" s="87"/>
      <c r="AK132" s="87"/>
    </row>
    <row r="133">
      <c r="A133" s="97">
        <f t="shared" si="3"/>
        <v>129</v>
      </c>
      <c r="B133" s="110">
        <v>1782.0</v>
      </c>
      <c r="C133" s="110">
        <v>3500000.0</v>
      </c>
      <c r="D133" s="66">
        <f t="shared" si="1"/>
        <v>62928</v>
      </c>
      <c r="E133" s="66">
        <f t="shared" si="2"/>
        <v>90733800</v>
      </c>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87"/>
      <c r="AH133" s="87"/>
      <c r="AI133" s="87"/>
      <c r="AK133" s="87"/>
    </row>
    <row r="134">
      <c r="A134" s="97">
        <f t="shared" si="3"/>
        <v>130</v>
      </c>
      <c r="B134" s="110">
        <v>2475.0</v>
      </c>
      <c r="C134" s="110">
        <v>3500000.0</v>
      </c>
      <c r="D134" s="66">
        <f t="shared" si="1"/>
        <v>65403</v>
      </c>
      <c r="E134" s="66">
        <f t="shared" si="2"/>
        <v>94233800</v>
      </c>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c r="AF134" s="96"/>
      <c r="AG134" s="87"/>
      <c r="AH134" s="87"/>
      <c r="AI134" s="87"/>
      <c r="AK134" s="87"/>
    </row>
    <row r="135">
      <c r="A135" s="97">
        <f t="shared" si="3"/>
        <v>131</v>
      </c>
      <c r="B135" s="110">
        <v>2475.0</v>
      </c>
      <c r="C135" s="110">
        <v>3500000.0</v>
      </c>
      <c r="D135" s="66">
        <f t="shared" si="1"/>
        <v>67878</v>
      </c>
      <c r="E135" s="66">
        <f t="shared" si="2"/>
        <v>97733800</v>
      </c>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87"/>
      <c r="AH135" s="87"/>
      <c r="AI135" s="87"/>
      <c r="AK135" s="87"/>
    </row>
    <row r="136">
      <c r="A136" s="97">
        <f t="shared" si="3"/>
        <v>132</v>
      </c>
      <c r="B136" s="110">
        <v>2475.0</v>
      </c>
      <c r="C136" s="110">
        <v>3500000.0</v>
      </c>
      <c r="D136" s="66">
        <f t="shared" si="1"/>
        <v>70353</v>
      </c>
      <c r="E136" s="66">
        <f t="shared" si="2"/>
        <v>101233800</v>
      </c>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c r="AG136" s="87"/>
      <c r="AH136" s="87"/>
      <c r="AI136" s="87"/>
      <c r="AK136" s="87"/>
    </row>
    <row r="137">
      <c r="A137" s="97">
        <f t="shared" si="3"/>
        <v>133</v>
      </c>
      <c r="B137" s="110">
        <v>2475.0</v>
      </c>
      <c r="C137" s="110">
        <v>3500000.0</v>
      </c>
      <c r="D137" s="66">
        <f t="shared" si="1"/>
        <v>72828</v>
      </c>
      <c r="E137" s="66">
        <f t="shared" si="2"/>
        <v>104733800</v>
      </c>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c r="AF137" s="96"/>
      <c r="AG137" s="87"/>
      <c r="AH137" s="87"/>
      <c r="AI137" s="87"/>
      <c r="AK137" s="87"/>
    </row>
    <row r="138">
      <c r="A138" s="97">
        <f t="shared" si="3"/>
        <v>134</v>
      </c>
      <c r="B138" s="110">
        <v>2475.0</v>
      </c>
      <c r="C138" s="110">
        <v>3500000.0</v>
      </c>
      <c r="D138" s="66">
        <f t="shared" si="1"/>
        <v>75303</v>
      </c>
      <c r="E138" s="66">
        <f t="shared" si="2"/>
        <v>108233800</v>
      </c>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c r="AF138" s="96"/>
      <c r="AG138" s="87"/>
      <c r="AH138" s="87"/>
      <c r="AI138" s="87"/>
      <c r="AK138" s="87"/>
    </row>
    <row r="139">
      <c r="A139" s="97">
        <f t="shared" si="3"/>
        <v>135</v>
      </c>
      <c r="B139" s="110">
        <v>2475.0</v>
      </c>
      <c r="C139" s="110">
        <v>3500000.0</v>
      </c>
      <c r="D139" s="66">
        <f t="shared" si="1"/>
        <v>77778</v>
      </c>
      <c r="E139" s="66">
        <f t="shared" si="2"/>
        <v>111733800</v>
      </c>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c r="AG139" s="87"/>
      <c r="AH139" s="87"/>
      <c r="AI139" s="87"/>
      <c r="AK139" s="87"/>
    </row>
    <row r="140">
      <c r="A140" s="97">
        <f t="shared" si="3"/>
        <v>136</v>
      </c>
      <c r="B140" s="110">
        <v>2475.0</v>
      </c>
      <c r="C140" s="110">
        <v>3500000.0</v>
      </c>
      <c r="D140" s="66">
        <f t="shared" si="1"/>
        <v>80253</v>
      </c>
      <c r="E140" s="66">
        <f t="shared" si="2"/>
        <v>115233800</v>
      </c>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87"/>
      <c r="AH140" s="87"/>
      <c r="AI140" s="87"/>
      <c r="AK140" s="87"/>
    </row>
    <row r="141">
      <c r="A141" s="97">
        <f t="shared" si="3"/>
        <v>137</v>
      </c>
      <c r="B141" s="110">
        <v>2475.0</v>
      </c>
      <c r="C141" s="110">
        <v>3500000.0</v>
      </c>
      <c r="D141" s="66">
        <f t="shared" si="1"/>
        <v>82728</v>
      </c>
      <c r="E141" s="66">
        <f t="shared" si="2"/>
        <v>118733800</v>
      </c>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c r="AG141" s="87"/>
      <c r="AH141" s="87"/>
      <c r="AI141" s="87"/>
      <c r="AK141" s="87"/>
    </row>
    <row r="142">
      <c r="A142" s="97">
        <f t="shared" si="3"/>
        <v>138</v>
      </c>
      <c r="B142" s="110">
        <v>2475.0</v>
      </c>
      <c r="C142" s="110">
        <v>3500000.0</v>
      </c>
      <c r="D142" s="66">
        <f t="shared" si="1"/>
        <v>85203</v>
      </c>
      <c r="E142" s="66">
        <f t="shared" si="2"/>
        <v>122233800</v>
      </c>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87"/>
      <c r="AH142" s="87"/>
      <c r="AI142" s="87"/>
      <c r="AK142" s="87"/>
    </row>
    <row r="143">
      <c r="A143" s="97">
        <f t="shared" si="3"/>
        <v>139</v>
      </c>
      <c r="B143" s="110">
        <v>2475.0</v>
      </c>
      <c r="C143" s="110">
        <v>6500000.0</v>
      </c>
      <c r="D143" s="66">
        <f t="shared" si="1"/>
        <v>87678</v>
      </c>
      <c r="E143" s="66">
        <f t="shared" si="2"/>
        <v>128733800</v>
      </c>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87"/>
      <c r="AH143" s="87"/>
      <c r="AI143" s="87"/>
      <c r="AK143" s="87"/>
    </row>
    <row r="144">
      <c r="A144" s="97">
        <f t="shared" si="3"/>
        <v>140</v>
      </c>
      <c r="B144" s="110">
        <v>2970.0</v>
      </c>
      <c r="C144" s="110">
        <v>6500000.0</v>
      </c>
      <c r="D144" s="66">
        <f t="shared" si="1"/>
        <v>90648</v>
      </c>
      <c r="E144" s="66">
        <f t="shared" si="2"/>
        <v>135233800</v>
      </c>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87"/>
      <c r="AH144" s="87"/>
      <c r="AI144" s="87"/>
      <c r="AK144" s="87"/>
    </row>
    <row r="145">
      <c r="A145" s="97">
        <f t="shared" si="3"/>
        <v>141</v>
      </c>
      <c r="B145" s="110">
        <v>2970.0</v>
      </c>
      <c r="C145" s="110">
        <v>6500000.0</v>
      </c>
      <c r="D145" s="66">
        <f t="shared" si="1"/>
        <v>93618</v>
      </c>
      <c r="E145" s="66">
        <f t="shared" si="2"/>
        <v>141733800</v>
      </c>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87"/>
      <c r="AH145" s="87"/>
      <c r="AI145" s="87"/>
      <c r="AK145" s="87"/>
    </row>
    <row r="146">
      <c r="A146" s="97">
        <f t="shared" si="3"/>
        <v>142</v>
      </c>
      <c r="B146" s="110">
        <v>2970.0</v>
      </c>
      <c r="C146" s="110">
        <v>6500000.0</v>
      </c>
      <c r="D146" s="66">
        <f t="shared" si="1"/>
        <v>96588</v>
      </c>
      <c r="E146" s="66">
        <f t="shared" si="2"/>
        <v>148233800</v>
      </c>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87"/>
      <c r="AH146" s="87"/>
      <c r="AI146" s="87"/>
      <c r="AK146" s="87"/>
    </row>
    <row r="147">
      <c r="A147" s="97">
        <f t="shared" si="3"/>
        <v>143</v>
      </c>
      <c r="B147" s="110">
        <v>2970.0</v>
      </c>
      <c r="C147" s="110">
        <v>6500000.0</v>
      </c>
      <c r="D147" s="66">
        <f t="shared" si="1"/>
        <v>99558</v>
      </c>
      <c r="E147" s="66">
        <f t="shared" si="2"/>
        <v>154733800</v>
      </c>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c r="AF147" s="96"/>
      <c r="AG147" s="87"/>
      <c r="AH147" s="87"/>
      <c r="AI147" s="87"/>
      <c r="AK147" s="87"/>
    </row>
    <row r="148">
      <c r="A148" s="97">
        <f t="shared" si="3"/>
        <v>144</v>
      </c>
      <c r="B148" s="110">
        <v>2970.0</v>
      </c>
      <c r="C148" s="110">
        <v>6500000.0</v>
      </c>
      <c r="D148" s="66">
        <f t="shared" si="1"/>
        <v>102528</v>
      </c>
      <c r="E148" s="66">
        <f t="shared" si="2"/>
        <v>161233800</v>
      </c>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c r="AG148" s="87"/>
      <c r="AH148" s="87"/>
      <c r="AI148" s="87"/>
      <c r="AK148" s="87"/>
    </row>
    <row r="149">
      <c r="A149" s="97">
        <f t="shared" si="3"/>
        <v>145</v>
      </c>
      <c r="B149" s="110">
        <v>2970.0</v>
      </c>
      <c r="C149" s="110">
        <v>6500000.0</v>
      </c>
      <c r="D149" s="66">
        <f t="shared" si="1"/>
        <v>105498</v>
      </c>
      <c r="E149" s="66">
        <f t="shared" si="2"/>
        <v>167733800</v>
      </c>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c r="AG149" s="87"/>
      <c r="AH149" s="87"/>
      <c r="AI149" s="87"/>
      <c r="AK149" s="87"/>
    </row>
    <row r="150">
      <c r="A150" s="97">
        <f t="shared" si="3"/>
        <v>146</v>
      </c>
      <c r="B150" s="110">
        <v>2970.0</v>
      </c>
      <c r="C150" s="110">
        <v>6500000.0</v>
      </c>
      <c r="D150" s="66">
        <f t="shared" si="1"/>
        <v>108468</v>
      </c>
      <c r="E150" s="66">
        <f t="shared" si="2"/>
        <v>174233800</v>
      </c>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c r="AG150" s="87"/>
      <c r="AH150" s="87"/>
      <c r="AI150" s="87"/>
      <c r="AK150" s="87"/>
    </row>
    <row r="151">
      <c r="A151" s="97">
        <f t="shared" si="3"/>
        <v>147</v>
      </c>
      <c r="B151" s="110">
        <v>2970.0</v>
      </c>
      <c r="C151" s="110">
        <v>6500000.0</v>
      </c>
      <c r="D151" s="66">
        <f t="shared" si="1"/>
        <v>111438</v>
      </c>
      <c r="E151" s="66">
        <f t="shared" si="2"/>
        <v>180733800</v>
      </c>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c r="AF151" s="96"/>
      <c r="AG151" s="87"/>
      <c r="AH151" s="87"/>
      <c r="AI151" s="87"/>
      <c r="AK151" s="87"/>
    </row>
    <row r="152">
      <c r="A152" s="97">
        <f t="shared" si="3"/>
        <v>148</v>
      </c>
      <c r="B152" s="110">
        <v>2970.0</v>
      </c>
      <c r="C152" s="110">
        <v>6500000.0</v>
      </c>
      <c r="D152" s="66">
        <f t="shared" si="1"/>
        <v>114408</v>
      </c>
      <c r="E152" s="66">
        <f t="shared" si="2"/>
        <v>187233800</v>
      </c>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c r="AG152" s="87"/>
      <c r="AH152" s="87"/>
      <c r="AI152" s="87"/>
      <c r="AK152" s="87"/>
    </row>
    <row r="153">
      <c r="A153" s="97">
        <f t="shared" si="3"/>
        <v>149</v>
      </c>
      <c r="B153" s="110">
        <v>2970.0</v>
      </c>
      <c r="C153" s="110">
        <v>6500000.0</v>
      </c>
      <c r="D153" s="66">
        <f t="shared" si="1"/>
        <v>117378</v>
      </c>
      <c r="E153" s="66">
        <f t="shared" si="2"/>
        <v>193733800</v>
      </c>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c r="AE153" s="96"/>
      <c r="AF153" s="96"/>
      <c r="AG153" s="87"/>
      <c r="AH153" s="87"/>
      <c r="AI153" s="87"/>
      <c r="AK153" s="87"/>
    </row>
    <row r="154">
      <c r="A154" s="97">
        <f t="shared" si="3"/>
        <v>150</v>
      </c>
      <c r="B154" s="110">
        <v>3960.0</v>
      </c>
      <c r="C154" s="110">
        <v>6500000.0</v>
      </c>
      <c r="D154" s="66">
        <f t="shared" si="1"/>
        <v>121338</v>
      </c>
      <c r="E154" s="66">
        <f t="shared" si="2"/>
        <v>200233800</v>
      </c>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c r="AE154" s="96"/>
      <c r="AF154" s="96"/>
      <c r="AG154" s="87"/>
      <c r="AH154" s="87"/>
      <c r="AI154" s="87"/>
      <c r="AK154" s="87"/>
    </row>
    <row r="155">
      <c r="A155" s="97">
        <f t="shared" si="3"/>
        <v>151</v>
      </c>
      <c r="B155" s="110">
        <v>3960.0</v>
      </c>
      <c r="C155" s="110">
        <v>6500000.0</v>
      </c>
      <c r="D155" s="66">
        <f t="shared" si="1"/>
        <v>125298</v>
      </c>
      <c r="E155" s="66">
        <f t="shared" si="2"/>
        <v>206733800</v>
      </c>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c r="AE155" s="96"/>
      <c r="AF155" s="96"/>
      <c r="AG155" s="87"/>
      <c r="AH155" s="87"/>
      <c r="AI155" s="87"/>
      <c r="AK155" s="87"/>
    </row>
    <row r="156">
      <c r="A156" s="97">
        <f t="shared" si="3"/>
        <v>152</v>
      </c>
      <c r="B156" s="110">
        <v>3960.0</v>
      </c>
      <c r="C156" s="110">
        <v>6500000.0</v>
      </c>
      <c r="D156" s="66">
        <f t="shared" si="1"/>
        <v>129258</v>
      </c>
      <c r="E156" s="66">
        <f t="shared" si="2"/>
        <v>213233800</v>
      </c>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c r="AE156" s="96"/>
      <c r="AF156" s="96"/>
      <c r="AG156" s="87"/>
      <c r="AH156" s="87"/>
      <c r="AI156" s="87"/>
      <c r="AK156" s="87"/>
    </row>
    <row r="157">
      <c r="A157" s="97">
        <f t="shared" si="3"/>
        <v>153</v>
      </c>
      <c r="B157" s="110">
        <v>3960.0</v>
      </c>
      <c r="C157" s="110">
        <v>6500000.0</v>
      </c>
      <c r="D157" s="66">
        <f t="shared" si="1"/>
        <v>133218</v>
      </c>
      <c r="E157" s="66">
        <f t="shared" si="2"/>
        <v>219733800</v>
      </c>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c r="AF157" s="96"/>
      <c r="AG157" s="87"/>
      <c r="AH157" s="87"/>
      <c r="AI157" s="87"/>
      <c r="AK157" s="87"/>
    </row>
    <row r="158">
      <c r="A158" s="97">
        <f t="shared" si="3"/>
        <v>154</v>
      </c>
      <c r="B158" s="110">
        <v>3960.0</v>
      </c>
      <c r="C158" s="110">
        <v>6500000.0</v>
      </c>
      <c r="D158" s="66">
        <f t="shared" si="1"/>
        <v>137178</v>
      </c>
      <c r="E158" s="66">
        <f t="shared" si="2"/>
        <v>226233800</v>
      </c>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c r="AE158" s="96"/>
      <c r="AF158" s="96"/>
      <c r="AG158" s="87"/>
      <c r="AH158" s="87"/>
      <c r="AI158" s="87"/>
      <c r="AK158" s="87"/>
    </row>
    <row r="159">
      <c r="A159" s="97">
        <f t="shared" si="3"/>
        <v>155</v>
      </c>
      <c r="B159" s="110">
        <v>3960.0</v>
      </c>
      <c r="C159" s="110">
        <v>6500000.0</v>
      </c>
      <c r="D159" s="66">
        <f t="shared" si="1"/>
        <v>141138</v>
      </c>
      <c r="E159" s="66">
        <f t="shared" si="2"/>
        <v>232733800</v>
      </c>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c r="AF159" s="96"/>
      <c r="AG159" s="87"/>
      <c r="AH159" s="87"/>
      <c r="AI159" s="87"/>
      <c r="AK159" s="87"/>
    </row>
    <row r="160">
      <c r="A160" s="97">
        <f t="shared" si="3"/>
        <v>156</v>
      </c>
      <c r="B160" s="110">
        <v>3960.0</v>
      </c>
      <c r="C160" s="110">
        <v>6500000.0</v>
      </c>
      <c r="D160" s="66">
        <f t="shared" si="1"/>
        <v>145098</v>
      </c>
      <c r="E160" s="66">
        <f t="shared" si="2"/>
        <v>239233800</v>
      </c>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c r="AF160" s="96"/>
      <c r="AG160" s="87"/>
      <c r="AH160" s="87"/>
      <c r="AI160" s="87"/>
      <c r="AK160" s="87"/>
    </row>
    <row r="161">
      <c r="A161" s="97">
        <f t="shared" si="3"/>
        <v>157</v>
      </c>
      <c r="B161" s="110">
        <v>3960.0</v>
      </c>
      <c r="C161" s="110">
        <v>6500000.0</v>
      </c>
      <c r="D161" s="66">
        <f t="shared" si="1"/>
        <v>149058</v>
      </c>
      <c r="E161" s="66">
        <f t="shared" si="2"/>
        <v>245733800</v>
      </c>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87"/>
      <c r="AH161" s="87"/>
      <c r="AI161" s="87"/>
      <c r="AK161" s="87"/>
    </row>
    <row r="162">
      <c r="A162" s="97">
        <f t="shared" si="3"/>
        <v>158</v>
      </c>
      <c r="B162" s="110">
        <v>3960.0</v>
      </c>
      <c r="C162" s="110">
        <v>6500000.0</v>
      </c>
      <c r="D162" s="66">
        <f t="shared" si="1"/>
        <v>153018</v>
      </c>
      <c r="E162" s="66">
        <f t="shared" si="2"/>
        <v>252233800</v>
      </c>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87"/>
      <c r="AH162" s="87"/>
      <c r="AI162" s="87"/>
      <c r="AK162" s="87"/>
    </row>
    <row r="163">
      <c r="A163" s="97">
        <f t="shared" si="3"/>
        <v>159</v>
      </c>
      <c r="B163" s="110">
        <v>3960.0</v>
      </c>
      <c r="C163" s="110">
        <v>6640000.0</v>
      </c>
      <c r="D163" s="66">
        <f t="shared" si="1"/>
        <v>156978</v>
      </c>
      <c r="E163" s="66">
        <f t="shared" si="2"/>
        <v>258873800</v>
      </c>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c r="AE163" s="96"/>
      <c r="AF163" s="96"/>
      <c r="AG163" s="87"/>
      <c r="AH163" s="87"/>
      <c r="AI163" s="87"/>
      <c r="AK163" s="87"/>
    </row>
    <row r="164">
      <c r="A164" s="97">
        <f t="shared" si="3"/>
        <v>160</v>
      </c>
      <c r="B164" s="88"/>
      <c r="C164" s="88"/>
      <c r="D164" s="89"/>
      <c r="E164" s="89"/>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c r="AG164" s="87"/>
      <c r="AH164" s="87"/>
      <c r="AI164" s="87"/>
      <c r="AK164" s="87"/>
    </row>
    <row r="165">
      <c r="A165" s="97">
        <f t="shared" si="3"/>
        <v>161</v>
      </c>
      <c r="B165" s="88"/>
      <c r="C165" s="88"/>
      <c r="D165" s="89"/>
      <c r="E165" s="89"/>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c r="AE165" s="96"/>
      <c r="AF165" s="96"/>
      <c r="AG165" s="87"/>
      <c r="AH165" s="87"/>
      <c r="AI165" s="87"/>
      <c r="AK165" s="87"/>
    </row>
    <row r="166">
      <c r="A166" s="97">
        <f t="shared" si="3"/>
        <v>162</v>
      </c>
      <c r="B166" s="88"/>
      <c r="C166" s="88"/>
      <c r="D166" s="89"/>
      <c r="E166" s="89"/>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c r="AE166" s="96"/>
      <c r="AF166" s="96"/>
      <c r="AG166" s="87"/>
      <c r="AH166" s="87"/>
      <c r="AI166" s="87"/>
      <c r="AK166" s="87"/>
    </row>
    <row r="167">
      <c r="A167" s="97">
        <f t="shared" si="3"/>
        <v>163</v>
      </c>
      <c r="B167" s="88"/>
      <c r="C167" s="88"/>
      <c r="D167" s="89"/>
      <c r="E167" s="89"/>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c r="AF167" s="96"/>
      <c r="AG167" s="87"/>
      <c r="AH167" s="87"/>
      <c r="AI167" s="87"/>
      <c r="AK167" s="87"/>
    </row>
    <row r="168">
      <c r="A168" s="97">
        <f t="shared" si="3"/>
        <v>164</v>
      </c>
      <c r="B168" s="88"/>
      <c r="C168" s="88"/>
      <c r="D168" s="89"/>
      <c r="E168" s="89"/>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c r="AF168" s="96"/>
      <c r="AG168" s="87"/>
      <c r="AH168" s="87"/>
      <c r="AI168" s="87"/>
      <c r="AK168" s="87"/>
    </row>
    <row r="169">
      <c r="A169" s="97">
        <f t="shared" si="3"/>
        <v>165</v>
      </c>
      <c r="B169" s="88"/>
      <c r="C169" s="88"/>
      <c r="D169" s="89"/>
      <c r="E169" s="89"/>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c r="AF169" s="96"/>
      <c r="AG169" s="87"/>
      <c r="AH169" s="87"/>
      <c r="AI169" s="87"/>
      <c r="AK169" s="87"/>
    </row>
    <row r="170">
      <c r="A170" s="97">
        <f t="shared" si="3"/>
        <v>166</v>
      </c>
      <c r="B170" s="88"/>
      <c r="C170" s="88"/>
      <c r="D170" s="89"/>
      <c r="E170" s="89"/>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c r="AG170" s="87"/>
      <c r="AH170" s="87"/>
      <c r="AI170" s="87"/>
      <c r="AK170" s="87"/>
    </row>
    <row r="171">
      <c r="A171" s="97">
        <f t="shared" si="3"/>
        <v>167</v>
      </c>
      <c r="B171" s="88"/>
      <c r="C171" s="88"/>
      <c r="D171" s="89"/>
      <c r="E171" s="89"/>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c r="AF171" s="96"/>
      <c r="AG171" s="87"/>
      <c r="AH171" s="87"/>
      <c r="AI171" s="87"/>
      <c r="AK171" s="87"/>
    </row>
    <row r="172">
      <c r="A172" s="97">
        <f t="shared" si="3"/>
        <v>168</v>
      </c>
      <c r="B172" s="88"/>
      <c r="C172" s="88"/>
      <c r="D172" s="89"/>
      <c r="E172" s="89"/>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c r="AF172" s="96"/>
      <c r="AG172" s="87"/>
      <c r="AH172" s="87"/>
      <c r="AI172" s="87"/>
      <c r="AK172" s="87"/>
    </row>
    <row r="173">
      <c r="A173" s="97">
        <f t="shared" si="3"/>
        <v>169</v>
      </c>
      <c r="B173" s="88"/>
      <c r="C173" s="88"/>
      <c r="D173" s="89"/>
      <c r="E173" s="89"/>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87"/>
      <c r="AH173" s="87"/>
      <c r="AI173" s="87"/>
      <c r="AK173" s="87"/>
    </row>
    <row r="174">
      <c r="A174" s="97">
        <f t="shared" si="3"/>
        <v>170</v>
      </c>
      <c r="B174" s="88"/>
      <c r="C174" s="88"/>
      <c r="D174" s="89"/>
      <c r="E174" s="89"/>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c r="AF174" s="96"/>
      <c r="AG174" s="87"/>
      <c r="AH174" s="87"/>
      <c r="AI174" s="87"/>
      <c r="AK174" s="87"/>
    </row>
    <row r="175">
      <c r="A175" s="97">
        <f t="shared" si="3"/>
        <v>171</v>
      </c>
      <c r="B175" s="88"/>
      <c r="C175" s="88"/>
      <c r="D175" s="89"/>
      <c r="E175" s="89"/>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87"/>
      <c r="AH175" s="87"/>
      <c r="AI175" s="87"/>
      <c r="AK175" s="87"/>
    </row>
    <row r="176">
      <c r="A176" s="97">
        <f t="shared" si="3"/>
        <v>172</v>
      </c>
      <c r="B176" s="88"/>
      <c r="C176" s="88"/>
      <c r="D176" s="89"/>
      <c r="E176" s="89"/>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87"/>
      <c r="AH176" s="87"/>
      <c r="AI176" s="87"/>
      <c r="AK176" s="87"/>
    </row>
    <row r="177">
      <c r="A177" s="97">
        <f t="shared" si="3"/>
        <v>173</v>
      </c>
      <c r="B177" s="88"/>
      <c r="C177" s="88"/>
      <c r="D177" s="89"/>
      <c r="E177" s="89"/>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c r="AG177" s="87"/>
      <c r="AH177" s="87"/>
      <c r="AI177" s="87"/>
      <c r="AK177" s="87"/>
    </row>
    <row r="178">
      <c r="A178" s="97">
        <f t="shared" si="3"/>
        <v>174</v>
      </c>
      <c r="B178" s="88"/>
      <c r="C178" s="88"/>
      <c r="D178" s="89"/>
      <c r="E178" s="89"/>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c r="AG178" s="87"/>
      <c r="AH178" s="87"/>
      <c r="AI178" s="87"/>
      <c r="AK178" s="87"/>
    </row>
    <row r="179">
      <c r="A179" s="97">
        <f t="shared" si="3"/>
        <v>175</v>
      </c>
      <c r="B179" s="88"/>
      <c r="C179" s="88"/>
      <c r="D179" s="89"/>
      <c r="E179" s="89"/>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87"/>
      <c r="AH179" s="87"/>
      <c r="AI179" s="87"/>
      <c r="AK179" s="87"/>
    </row>
    <row r="180">
      <c r="A180" s="97">
        <f t="shared" si="3"/>
        <v>176</v>
      </c>
      <c r="B180" s="88"/>
      <c r="C180" s="88"/>
      <c r="D180" s="89"/>
      <c r="E180" s="89"/>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c r="AF180" s="96"/>
      <c r="AG180" s="87"/>
      <c r="AH180" s="87"/>
      <c r="AI180" s="87"/>
      <c r="AK180" s="87"/>
    </row>
    <row r="181">
      <c r="A181" s="97">
        <f t="shared" si="3"/>
        <v>177</v>
      </c>
      <c r="B181" s="88"/>
      <c r="C181" s="88"/>
      <c r="D181" s="89"/>
      <c r="E181" s="89"/>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c r="AF181" s="96"/>
      <c r="AG181" s="87"/>
      <c r="AH181" s="87"/>
      <c r="AI181" s="87"/>
      <c r="AK181" s="87"/>
    </row>
    <row r="182">
      <c r="A182" s="97">
        <f t="shared" si="3"/>
        <v>178</v>
      </c>
      <c r="B182" s="88"/>
      <c r="C182" s="88"/>
      <c r="D182" s="89"/>
      <c r="E182" s="89"/>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c r="AF182" s="96"/>
      <c r="AG182" s="87"/>
      <c r="AH182" s="87"/>
      <c r="AI182" s="87"/>
      <c r="AK182" s="87"/>
    </row>
    <row r="183">
      <c r="A183" s="97">
        <f t="shared" si="3"/>
        <v>179</v>
      </c>
      <c r="B183" s="88"/>
      <c r="C183" s="88"/>
      <c r="D183" s="89"/>
      <c r="E183" s="89"/>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c r="AG183" s="87"/>
      <c r="AH183" s="87"/>
      <c r="AI183" s="87"/>
      <c r="AK183" s="87"/>
    </row>
    <row r="184">
      <c r="A184" s="97">
        <f t="shared" si="3"/>
        <v>180</v>
      </c>
      <c r="B184" s="88"/>
      <c r="C184" s="88"/>
      <c r="D184" s="89"/>
      <c r="E184" s="89"/>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87"/>
      <c r="AH184" s="87"/>
      <c r="AI184" s="87"/>
      <c r="AK184" s="87"/>
    </row>
    <row r="185">
      <c r="A185" s="97">
        <f t="shared" si="3"/>
        <v>181</v>
      </c>
      <c r="B185" s="88"/>
      <c r="C185" s="88"/>
      <c r="D185" s="89"/>
      <c r="E185" s="89"/>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c r="AF185" s="96"/>
      <c r="AG185" s="87"/>
      <c r="AH185" s="87"/>
      <c r="AI185" s="87"/>
      <c r="AK185" s="87"/>
    </row>
    <row r="186">
      <c r="A186" s="97">
        <f t="shared" si="3"/>
        <v>182</v>
      </c>
      <c r="B186" s="88"/>
      <c r="C186" s="88"/>
      <c r="D186" s="89"/>
      <c r="E186" s="89"/>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c r="AG186" s="87"/>
      <c r="AH186" s="87"/>
      <c r="AI186" s="87"/>
      <c r="AK186" s="87"/>
    </row>
    <row r="187">
      <c r="A187" s="97">
        <f t="shared" si="3"/>
        <v>183</v>
      </c>
      <c r="B187" s="88"/>
      <c r="C187" s="88"/>
      <c r="D187" s="89"/>
      <c r="E187" s="89"/>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c r="AE187" s="96"/>
      <c r="AF187" s="96"/>
      <c r="AG187" s="87"/>
      <c r="AH187" s="87"/>
      <c r="AI187" s="87"/>
      <c r="AK187" s="87"/>
    </row>
    <row r="188">
      <c r="A188" s="97">
        <f t="shared" si="3"/>
        <v>184</v>
      </c>
      <c r="B188" s="88"/>
      <c r="C188" s="88"/>
      <c r="D188" s="89"/>
      <c r="E188" s="89"/>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c r="AF188" s="96"/>
      <c r="AG188" s="87"/>
      <c r="AH188" s="87"/>
      <c r="AI188" s="87"/>
      <c r="AK188" s="87"/>
    </row>
    <row r="189">
      <c r="A189" s="97">
        <f t="shared" si="3"/>
        <v>185</v>
      </c>
      <c r="B189" s="88"/>
      <c r="C189" s="88"/>
      <c r="D189" s="89"/>
      <c r="E189" s="89"/>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c r="AF189" s="96"/>
      <c r="AG189" s="87"/>
      <c r="AH189" s="87"/>
      <c r="AI189" s="87"/>
      <c r="AK189" s="87"/>
    </row>
    <row r="190">
      <c r="A190" s="97">
        <f t="shared" si="3"/>
        <v>186</v>
      </c>
      <c r="B190" s="88"/>
      <c r="C190" s="88"/>
      <c r="D190" s="89"/>
      <c r="E190" s="89"/>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c r="AG190" s="87"/>
      <c r="AH190" s="87"/>
      <c r="AI190" s="87"/>
      <c r="AK190" s="87"/>
    </row>
    <row r="191">
      <c r="A191" s="97">
        <f t="shared" si="3"/>
        <v>187</v>
      </c>
      <c r="B191" s="88"/>
      <c r="C191" s="88"/>
      <c r="D191" s="89"/>
      <c r="E191" s="89"/>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87"/>
      <c r="AH191" s="87"/>
      <c r="AI191" s="87"/>
      <c r="AK191" s="87"/>
    </row>
    <row r="192">
      <c r="A192" s="97">
        <f t="shared" si="3"/>
        <v>188</v>
      </c>
      <c r="B192" s="88"/>
      <c r="C192" s="88"/>
      <c r="D192" s="89"/>
      <c r="E192" s="89"/>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c r="AF192" s="96"/>
      <c r="AG192" s="87"/>
      <c r="AH192" s="87"/>
      <c r="AI192" s="87"/>
      <c r="AK192" s="87"/>
    </row>
    <row r="193">
      <c r="A193" s="97">
        <f t="shared" si="3"/>
        <v>189</v>
      </c>
      <c r="B193" s="88"/>
      <c r="C193" s="88"/>
      <c r="D193" s="89"/>
      <c r="E193" s="89"/>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c r="AE193" s="96"/>
      <c r="AF193" s="96"/>
      <c r="AG193" s="87"/>
      <c r="AH193" s="87"/>
      <c r="AI193" s="87"/>
      <c r="AK193" s="87"/>
    </row>
    <row r="194">
      <c r="A194" s="97">
        <f t="shared" si="3"/>
        <v>190</v>
      </c>
      <c r="B194" s="88"/>
      <c r="C194" s="88"/>
      <c r="D194" s="89"/>
      <c r="E194" s="89"/>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c r="AE194" s="96"/>
      <c r="AF194" s="96"/>
      <c r="AG194" s="87"/>
      <c r="AH194" s="87"/>
      <c r="AI194" s="87"/>
      <c r="AK194" s="87"/>
    </row>
    <row r="195">
      <c r="A195" s="97">
        <f t="shared" si="3"/>
        <v>191</v>
      </c>
      <c r="B195" s="88"/>
      <c r="C195" s="88"/>
      <c r="D195" s="89"/>
      <c r="E195" s="89"/>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c r="AF195" s="96"/>
      <c r="AG195" s="87"/>
      <c r="AH195" s="87"/>
      <c r="AI195" s="87"/>
      <c r="AK195" s="87"/>
    </row>
    <row r="196">
      <c r="A196" s="97">
        <f t="shared" si="3"/>
        <v>192</v>
      </c>
      <c r="B196" s="88"/>
      <c r="C196" s="88"/>
      <c r="D196" s="89"/>
      <c r="E196" s="89"/>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c r="AF196" s="96"/>
      <c r="AG196" s="87"/>
      <c r="AH196" s="87"/>
      <c r="AI196" s="87"/>
      <c r="AK196" s="87"/>
    </row>
    <row r="197">
      <c r="A197" s="97">
        <f t="shared" si="3"/>
        <v>193</v>
      </c>
      <c r="B197" s="88"/>
      <c r="C197" s="88"/>
      <c r="D197" s="89"/>
      <c r="E197" s="89"/>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c r="AE197" s="96"/>
      <c r="AF197" s="96"/>
      <c r="AG197" s="87"/>
      <c r="AH197" s="87"/>
      <c r="AI197" s="87"/>
      <c r="AK197" s="87"/>
    </row>
    <row r="198">
      <c r="A198" s="97">
        <f t="shared" si="3"/>
        <v>194</v>
      </c>
      <c r="B198" s="88"/>
      <c r="C198" s="88"/>
      <c r="D198" s="89"/>
      <c r="E198" s="89"/>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c r="AG198" s="87"/>
      <c r="AH198" s="87"/>
      <c r="AI198" s="87"/>
      <c r="AK198" s="87"/>
    </row>
    <row r="199">
      <c r="A199" s="97">
        <f t="shared" si="3"/>
        <v>195</v>
      </c>
      <c r="B199" s="88"/>
      <c r="C199" s="88"/>
      <c r="D199" s="89"/>
      <c r="E199" s="89"/>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87"/>
      <c r="AH199" s="87"/>
      <c r="AI199" s="87"/>
      <c r="AK199" s="87"/>
    </row>
    <row r="200">
      <c r="A200" s="97">
        <f t="shared" si="3"/>
        <v>196</v>
      </c>
      <c r="B200" s="88"/>
      <c r="C200" s="88"/>
      <c r="D200" s="89"/>
      <c r="E200" s="89"/>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87"/>
      <c r="AH200" s="87"/>
      <c r="AI200" s="87"/>
      <c r="AK200" s="87"/>
    </row>
    <row r="201">
      <c r="A201" s="97">
        <f t="shared" si="3"/>
        <v>197</v>
      </c>
      <c r="B201" s="88"/>
      <c r="C201" s="88"/>
      <c r="D201" s="89"/>
      <c r="E201" s="89"/>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87"/>
      <c r="AH201" s="87"/>
      <c r="AI201" s="87"/>
      <c r="AK201" s="87"/>
    </row>
    <row r="202">
      <c r="A202" s="97">
        <f t="shared" si="3"/>
        <v>198</v>
      </c>
      <c r="B202" s="88"/>
      <c r="C202" s="88"/>
      <c r="D202" s="89"/>
      <c r="E202" s="89"/>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87"/>
      <c r="AH202" s="87"/>
      <c r="AI202" s="87"/>
      <c r="AK202" s="87"/>
    </row>
    <row r="203">
      <c r="A203" s="97">
        <f t="shared" si="3"/>
        <v>199</v>
      </c>
      <c r="B203" s="88"/>
      <c r="C203" s="88"/>
      <c r="D203" s="89"/>
      <c r="E203" s="89"/>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87"/>
      <c r="AH203" s="87"/>
      <c r="AI203" s="87"/>
      <c r="AK203" s="87"/>
    </row>
    <row r="204">
      <c r="A204" s="97">
        <f t="shared" si="3"/>
        <v>200</v>
      </c>
      <c r="B204" s="88"/>
      <c r="C204" s="88"/>
      <c r="D204" s="89"/>
      <c r="E204" s="89"/>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87"/>
      <c r="AH204" s="87"/>
      <c r="AI204" s="87"/>
      <c r="AK204" s="87"/>
    </row>
    <row r="205">
      <c r="A205" s="97">
        <f t="shared" si="3"/>
        <v>201</v>
      </c>
      <c r="B205" s="88"/>
      <c r="C205" s="88"/>
      <c r="D205" s="89"/>
      <c r="E205" s="89"/>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87"/>
      <c r="AH205" s="87"/>
      <c r="AI205" s="87"/>
      <c r="AK205" s="87"/>
    </row>
    <row r="206">
      <c r="A206" s="97">
        <f t="shared" si="3"/>
        <v>202</v>
      </c>
      <c r="B206" s="88"/>
      <c r="C206" s="88"/>
      <c r="D206" s="89"/>
      <c r="E206" s="89"/>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87"/>
      <c r="AH206" s="87"/>
      <c r="AI206" s="87"/>
      <c r="AK206" s="87"/>
    </row>
    <row r="207">
      <c r="A207" s="97">
        <f t="shared" si="3"/>
        <v>203</v>
      </c>
      <c r="B207" s="88"/>
      <c r="C207" s="88"/>
      <c r="D207" s="89"/>
      <c r="E207" s="89"/>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c r="AG207" s="87"/>
      <c r="AH207" s="87"/>
      <c r="AI207" s="87"/>
      <c r="AK207" s="87"/>
    </row>
    <row r="208">
      <c r="A208" s="97">
        <f t="shared" si="3"/>
        <v>204</v>
      </c>
      <c r="B208" s="88"/>
      <c r="C208" s="88"/>
      <c r="D208" s="89"/>
      <c r="E208" s="89"/>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87"/>
      <c r="AH208" s="87"/>
      <c r="AI208" s="87"/>
      <c r="AK208" s="87"/>
    </row>
    <row r="209">
      <c r="A209" s="97">
        <f t="shared" si="3"/>
        <v>205</v>
      </c>
      <c r="B209" s="88"/>
      <c r="C209" s="88"/>
      <c r="D209" s="89"/>
      <c r="E209" s="89"/>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c r="AG209" s="87"/>
      <c r="AH209" s="87"/>
      <c r="AI209" s="87"/>
      <c r="AK209" s="87"/>
    </row>
    <row r="210">
      <c r="A210" s="97">
        <f t="shared" si="3"/>
        <v>206</v>
      </c>
      <c r="B210" s="88"/>
      <c r="C210" s="88"/>
      <c r="D210" s="89"/>
      <c r="E210" s="89"/>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87"/>
      <c r="AH210" s="87"/>
      <c r="AI210" s="87"/>
      <c r="AK210" s="87"/>
    </row>
    <row r="211">
      <c r="A211" s="97">
        <f t="shared" si="3"/>
        <v>207</v>
      </c>
      <c r="B211" s="88"/>
      <c r="C211" s="88"/>
      <c r="D211" s="89"/>
      <c r="E211" s="89"/>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c r="AG211" s="87"/>
      <c r="AH211" s="87"/>
      <c r="AI211" s="87"/>
      <c r="AK211" s="87"/>
    </row>
    <row r="212">
      <c r="A212" s="97">
        <f t="shared" si="3"/>
        <v>208</v>
      </c>
      <c r="B212" s="88"/>
      <c r="C212" s="88"/>
      <c r="D212" s="89"/>
      <c r="E212" s="89"/>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87"/>
      <c r="AH212" s="87"/>
      <c r="AI212" s="87"/>
      <c r="AK212" s="87"/>
    </row>
    <row r="213">
      <c r="A213" s="97">
        <f t="shared" si="3"/>
        <v>209</v>
      </c>
      <c r="B213" s="88"/>
      <c r="C213" s="88"/>
      <c r="D213" s="89"/>
      <c r="E213" s="89"/>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87"/>
      <c r="AH213" s="87"/>
      <c r="AI213" s="87"/>
      <c r="AK213" s="87"/>
    </row>
    <row r="214">
      <c r="A214" s="97">
        <f t="shared" si="3"/>
        <v>210</v>
      </c>
      <c r="B214" s="88"/>
      <c r="C214" s="88"/>
      <c r="D214" s="89"/>
      <c r="E214" s="89"/>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87"/>
      <c r="AH214" s="87"/>
      <c r="AI214" s="87"/>
      <c r="AK214" s="87"/>
    </row>
    <row r="215">
      <c r="A215" s="97">
        <f t="shared" si="3"/>
        <v>211</v>
      </c>
      <c r="B215" s="88"/>
      <c r="C215" s="88"/>
      <c r="D215" s="89"/>
      <c r="E215" s="89"/>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c r="AG215" s="87"/>
      <c r="AH215" s="87"/>
      <c r="AI215" s="87"/>
      <c r="AK215" s="87"/>
    </row>
    <row r="216">
      <c r="A216" s="97">
        <f t="shared" si="3"/>
        <v>212</v>
      </c>
      <c r="B216" s="88"/>
      <c r="C216" s="88"/>
      <c r="D216" s="89"/>
      <c r="E216" s="89"/>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87"/>
      <c r="AH216" s="87"/>
      <c r="AI216" s="87"/>
      <c r="AK216" s="87"/>
    </row>
    <row r="217">
      <c r="A217" s="97">
        <f t="shared" si="3"/>
        <v>213</v>
      </c>
      <c r="B217" s="88"/>
      <c r="C217" s="88"/>
      <c r="D217" s="89"/>
      <c r="E217" s="89"/>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87"/>
      <c r="AH217" s="87"/>
      <c r="AI217" s="87"/>
      <c r="AK217" s="87"/>
    </row>
    <row r="218">
      <c r="A218" s="97">
        <f t="shared" si="3"/>
        <v>214</v>
      </c>
      <c r="B218" s="88"/>
      <c r="C218" s="88"/>
      <c r="D218" s="89"/>
      <c r="E218" s="89"/>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87"/>
      <c r="AH218" s="87"/>
      <c r="AI218" s="87"/>
      <c r="AK218" s="87"/>
    </row>
    <row r="219">
      <c r="A219" s="97">
        <f t="shared" si="3"/>
        <v>215</v>
      </c>
      <c r="B219" s="88"/>
      <c r="C219" s="88"/>
      <c r="D219" s="89"/>
      <c r="E219" s="89"/>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87"/>
      <c r="AH219" s="87"/>
      <c r="AI219" s="87"/>
      <c r="AK219" s="87"/>
    </row>
    <row r="220">
      <c r="A220" s="97">
        <f t="shared" si="3"/>
        <v>216</v>
      </c>
      <c r="B220" s="88"/>
      <c r="C220" s="88"/>
      <c r="D220" s="89"/>
      <c r="E220" s="89"/>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c r="AG220" s="87"/>
      <c r="AH220" s="87"/>
      <c r="AI220" s="87"/>
      <c r="AK220" s="87"/>
    </row>
    <row r="221">
      <c r="A221" s="97">
        <f t="shared" si="3"/>
        <v>217</v>
      </c>
      <c r="B221" s="88"/>
      <c r="C221" s="88"/>
      <c r="D221" s="89"/>
      <c r="E221" s="89"/>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c r="AG221" s="87"/>
      <c r="AH221" s="87"/>
      <c r="AI221" s="87"/>
      <c r="AK221" s="87"/>
    </row>
    <row r="222">
      <c r="A222" s="97">
        <f t="shared" si="3"/>
        <v>218</v>
      </c>
      <c r="B222" s="88"/>
      <c r="C222" s="88"/>
      <c r="D222" s="89"/>
      <c r="E222" s="89"/>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87"/>
      <c r="AH222" s="87"/>
      <c r="AI222" s="87"/>
      <c r="AK222" s="87"/>
    </row>
    <row r="223">
      <c r="A223" s="97">
        <f t="shared" si="3"/>
        <v>219</v>
      </c>
      <c r="B223" s="88"/>
      <c r="C223" s="88"/>
      <c r="D223" s="89"/>
      <c r="E223" s="89"/>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87"/>
      <c r="AH223" s="87"/>
      <c r="AI223" s="87"/>
      <c r="AK223" s="87"/>
    </row>
    <row r="224">
      <c r="A224" s="97">
        <f t="shared" si="3"/>
        <v>220</v>
      </c>
      <c r="B224" s="88"/>
      <c r="C224" s="88"/>
      <c r="D224" s="89"/>
      <c r="E224" s="89"/>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87"/>
      <c r="AH224" s="87"/>
      <c r="AI224" s="87"/>
      <c r="AK224" s="87"/>
    </row>
    <row r="225">
      <c r="A225" s="97">
        <f t="shared" si="3"/>
        <v>221</v>
      </c>
      <c r="B225" s="88"/>
      <c r="C225" s="88"/>
      <c r="D225" s="89"/>
      <c r="E225" s="89"/>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87"/>
      <c r="AH225" s="87"/>
      <c r="AI225" s="87"/>
      <c r="AK225" s="87"/>
    </row>
    <row r="226">
      <c r="A226" s="97">
        <f t="shared" si="3"/>
        <v>222</v>
      </c>
      <c r="B226" s="88"/>
      <c r="C226" s="88"/>
      <c r="D226" s="89"/>
      <c r="E226" s="89"/>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87"/>
      <c r="AH226" s="87"/>
      <c r="AI226" s="87"/>
      <c r="AK226" s="87"/>
    </row>
    <row r="227">
      <c r="A227" s="97">
        <f t="shared" si="3"/>
        <v>223</v>
      </c>
      <c r="B227" s="88"/>
      <c r="C227" s="88"/>
      <c r="D227" s="89"/>
      <c r="E227" s="89"/>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87"/>
      <c r="AH227" s="87"/>
      <c r="AI227" s="87"/>
      <c r="AK227" s="87"/>
    </row>
    <row r="228">
      <c r="A228" s="97">
        <f t="shared" si="3"/>
        <v>224</v>
      </c>
      <c r="B228" s="88"/>
      <c r="C228" s="88"/>
      <c r="D228" s="89"/>
      <c r="E228" s="89"/>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87"/>
      <c r="AH228" s="87"/>
      <c r="AI228" s="87"/>
      <c r="AK228" s="87"/>
    </row>
    <row r="229">
      <c r="A229" s="97">
        <f t="shared" si="3"/>
        <v>225</v>
      </c>
      <c r="B229" s="88"/>
      <c r="C229" s="88"/>
      <c r="D229" s="89"/>
      <c r="E229" s="89"/>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87"/>
      <c r="AH229" s="87"/>
      <c r="AI229" s="87"/>
      <c r="AK229" s="87"/>
    </row>
    <row r="230">
      <c r="A230" s="97">
        <f t="shared" si="3"/>
        <v>226</v>
      </c>
      <c r="B230" s="88"/>
      <c r="C230" s="88"/>
      <c r="D230" s="89"/>
      <c r="E230" s="89"/>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87"/>
      <c r="AH230" s="87"/>
      <c r="AI230" s="87"/>
      <c r="AK230" s="87"/>
    </row>
    <row r="231">
      <c r="A231" s="97">
        <f t="shared" si="3"/>
        <v>227</v>
      </c>
      <c r="B231" s="88"/>
      <c r="C231" s="88"/>
      <c r="D231" s="89"/>
      <c r="E231" s="89"/>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87"/>
      <c r="AH231" s="87"/>
      <c r="AI231" s="87"/>
      <c r="AK231" s="87"/>
    </row>
    <row r="232">
      <c r="A232" s="97">
        <f t="shared" si="3"/>
        <v>228</v>
      </c>
      <c r="B232" s="88"/>
      <c r="C232" s="88"/>
      <c r="D232" s="89"/>
      <c r="E232" s="89"/>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c r="AG232" s="87"/>
      <c r="AH232" s="87"/>
      <c r="AI232" s="87"/>
      <c r="AK232" s="87"/>
    </row>
    <row r="233">
      <c r="A233" s="97">
        <f t="shared" si="3"/>
        <v>229</v>
      </c>
      <c r="B233" s="88"/>
      <c r="C233" s="88"/>
      <c r="D233" s="89"/>
      <c r="E233" s="89"/>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87"/>
      <c r="AH233" s="87"/>
      <c r="AI233" s="87"/>
      <c r="AK233" s="87"/>
    </row>
    <row r="234">
      <c r="A234" s="97">
        <f t="shared" si="3"/>
        <v>230</v>
      </c>
      <c r="B234" s="88"/>
      <c r="C234" s="88"/>
      <c r="D234" s="89"/>
      <c r="E234" s="89"/>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87"/>
      <c r="AH234" s="87"/>
      <c r="AI234" s="87"/>
      <c r="AK234" s="87"/>
    </row>
    <row r="235">
      <c r="A235" s="97">
        <f t="shared" si="3"/>
        <v>231</v>
      </c>
      <c r="B235" s="88"/>
      <c r="C235" s="88"/>
      <c r="D235" s="89"/>
      <c r="E235" s="89"/>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c r="AG235" s="87"/>
      <c r="AH235" s="87"/>
      <c r="AI235" s="87"/>
      <c r="AK235" s="87"/>
    </row>
    <row r="236">
      <c r="A236" s="97">
        <f t="shared" si="3"/>
        <v>232</v>
      </c>
      <c r="B236" s="88"/>
      <c r="C236" s="88"/>
      <c r="D236" s="89"/>
      <c r="E236" s="89"/>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87"/>
      <c r="AH236" s="87"/>
      <c r="AI236" s="87"/>
      <c r="AK236" s="87"/>
    </row>
    <row r="237">
      <c r="A237" s="97">
        <f t="shared" si="3"/>
        <v>233</v>
      </c>
      <c r="B237" s="88"/>
      <c r="C237" s="88"/>
      <c r="D237" s="89"/>
      <c r="E237" s="89"/>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87"/>
      <c r="AH237" s="87"/>
      <c r="AI237" s="87"/>
      <c r="AK237" s="87"/>
    </row>
    <row r="238">
      <c r="A238" s="97">
        <f t="shared" si="3"/>
        <v>234</v>
      </c>
      <c r="B238" s="88"/>
      <c r="C238" s="88"/>
      <c r="D238" s="89"/>
      <c r="E238" s="89"/>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87"/>
      <c r="AH238" s="87"/>
      <c r="AI238" s="87"/>
      <c r="AK238" s="87"/>
    </row>
    <row r="239">
      <c r="A239" s="97">
        <f t="shared" si="3"/>
        <v>235</v>
      </c>
      <c r="B239" s="88"/>
      <c r="C239" s="88"/>
      <c r="D239" s="89"/>
      <c r="E239" s="89"/>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87"/>
      <c r="AH239" s="87"/>
      <c r="AI239" s="87"/>
      <c r="AK239" s="87"/>
    </row>
    <row r="240">
      <c r="A240" s="97">
        <f t="shared" si="3"/>
        <v>236</v>
      </c>
      <c r="B240" s="88"/>
      <c r="C240" s="88"/>
      <c r="D240" s="89"/>
      <c r="E240" s="89"/>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87"/>
      <c r="AH240" s="87"/>
      <c r="AI240" s="87"/>
      <c r="AK240" s="87"/>
    </row>
    <row r="241">
      <c r="A241" s="97">
        <f t="shared" si="3"/>
        <v>237</v>
      </c>
      <c r="B241" s="88"/>
      <c r="C241" s="88"/>
      <c r="D241" s="89"/>
      <c r="E241" s="89"/>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87"/>
      <c r="AH241" s="87"/>
      <c r="AI241" s="87"/>
      <c r="AK241" s="87"/>
    </row>
    <row r="242">
      <c r="A242" s="97">
        <f t="shared" si="3"/>
        <v>238</v>
      </c>
      <c r="B242" s="88"/>
      <c r="C242" s="88"/>
      <c r="D242" s="89"/>
      <c r="E242" s="89"/>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87"/>
      <c r="AH242" s="87"/>
      <c r="AI242" s="87"/>
      <c r="AK242" s="87"/>
    </row>
    <row r="243">
      <c r="A243" s="97">
        <f t="shared" si="3"/>
        <v>239</v>
      </c>
      <c r="B243" s="88"/>
      <c r="C243" s="88"/>
      <c r="D243" s="89"/>
      <c r="E243" s="89"/>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87"/>
      <c r="AH243" s="87"/>
      <c r="AI243" s="87"/>
      <c r="AK243" s="87"/>
    </row>
    <row r="244">
      <c r="A244" s="97">
        <f t="shared" si="3"/>
        <v>240</v>
      </c>
      <c r="B244" s="88"/>
      <c r="C244" s="88"/>
      <c r="D244" s="89"/>
      <c r="E244" s="89"/>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87"/>
      <c r="AH244" s="87"/>
      <c r="AI244" s="87"/>
      <c r="AK244" s="87"/>
    </row>
    <row r="245">
      <c r="A245" s="97">
        <f t="shared" si="3"/>
        <v>241</v>
      </c>
      <c r="B245" s="88"/>
      <c r="C245" s="88"/>
      <c r="D245" s="89"/>
      <c r="E245" s="89"/>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87"/>
      <c r="AH245" s="87"/>
      <c r="AI245" s="87"/>
      <c r="AK245" s="87"/>
    </row>
    <row r="246">
      <c r="A246" s="97">
        <f t="shared" si="3"/>
        <v>242</v>
      </c>
      <c r="B246" s="88"/>
      <c r="C246" s="88"/>
      <c r="D246" s="89"/>
      <c r="E246" s="89"/>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87"/>
      <c r="AH246" s="87"/>
      <c r="AI246" s="87"/>
      <c r="AK246" s="87"/>
    </row>
    <row r="247">
      <c r="A247" s="97">
        <f t="shared" si="3"/>
        <v>243</v>
      </c>
      <c r="B247" s="88"/>
      <c r="C247" s="88"/>
      <c r="D247" s="89"/>
      <c r="E247" s="89"/>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87"/>
      <c r="AH247" s="87"/>
      <c r="AI247" s="87"/>
      <c r="AK247" s="87"/>
    </row>
    <row r="248">
      <c r="A248" s="97">
        <f t="shared" si="3"/>
        <v>244</v>
      </c>
      <c r="B248" s="88"/>
      <c r="C248" s="88"/>
      <c r="D248" s="89"/>
      <c r="E248" s="89"/>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87"/>
      <c r="AH248" s="87"/>
      <c r="AI248" s="87"/>
      <c r="AK248" s="87"/>
    </row>
    <row r="249">
      <c r="A249" s="97">
        <f t="shared" si="3"/>
        <v>245</v>
      </c>
      <c r="B249" s="88"/>
      <c r="C249" s="88"/>
      <c r="D249" s="89"/>
      <c r="E249" s="89"/>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87"/>
      <c r="AH249" s="87"/>
      <c r="AI249" s="87"/>
      <c r="AK249" s="87"/>
    </row>
    <row r="250">
      <c r="A250" s="97">
        <f t="shared" si="3"/>
        <v>246</v>
      </c>
      <c r="B250" s="88"/>
      <c r="C250" s="88"/>
      <c r="D250" s="89"/>
      <c r="E250" s="89"/>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87"/>
      <c r="AH250" s="87"/>
      <c r="AI250" s="87"/>
      <c r="AK250" s="87"/>
    </row>
    <row r="251">
      <c r="A251" s="97">
        <f t="shared" si="3"/>
        <v>247</v>
      </c>
      <c r="B251" s="88"/>
      <c r="C251" s="88"/>
      <c r="D251" s="89"/>
      <c r="E251" s="89"/>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87"/>
      <c r="AH251" s="87"/>
      <c r="AI251" s="87"/>
      <c r="AK251" s="87"/>
    </row>
    <row r="252">
      <c r="A252" s="97">
        <f t="shared" si="3"/>
        <v>248</v>
      </c>
      <c r="B252" s="88"/>
      <c r="C252" s="88"/>
      <c r="D252" s="89"/>
      <c r="E252" s="89"/>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87"/>
      <c r="AH252" s="87"/>
      <c r="AI252" s="87"/>
      <c r="AK252" s="87"/>
    </row>
    <row r="253">
      <c r="A253" s="97">
        <f t="shared" si="3"/>
        <v>249</v>
      </c>
      <c r="B253" s="88"/>
      <c r="C253" s="88"/>
      <c r="D253" s="89"/>
      <c r="E253" s="89"/>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87"/>
      <c r="AH253" s="87"/>
      <c r="AI253" s="87"/>
      <c r="AK253" s="87"/>
    </row>
    <row r="254">
      <c r="A254" s="97">
        <f t="shared" si="3"/>
        <v>250</v>
      </c>
      <c r="B254" s="88"/>
      <c r="C254" s="88"/>
      <c r="D254" s="89"/>
      <c r="E254" s="89"/>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87"/>
      <c r="AH254" s="87"/>
      <c r="AI254" s="87"/>
      <c r="AK254" s="87"/>
    </row>
    <row r="255">
      <c r="A255" s="97">
        <f t="shared" si="3"/>
        <v>251</v>
      </c>
      <c r="B255" s="88"/>
      <c r="C255" s="88"/>
      <c r="D255" s="89"/>
      <c r="E255" s="89"/>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87"/>
      <c r="AH255" s="87"/>
      <c r="AI255" s="87"/>
      <c r="AK255" s="87"/>
    </row>
    <row r="256">
      <c r="A256" s="97">
        <f t="shared" si="3"/>
        <v>252</v>
      </c>
      <c r="B256" s="88"/>
      <c r="C256" s="88"/>
      <c r="D256" s="89"/>
      <c r="E256" s="89"/>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87"/>
      <c r="AH256" s="87"/>
      <c r="AI256" s="87"/>
      <c r="AK256" s="87"/>
    </row>
    <row r="257">
      <c r="A257" s="97">
        <f t="shared" si="3"/>
        <v>253</v>
      </c>
      <c r="B257" s="88"/>
      <c r="C257" s="88"/>
      <c r="D257" s="89"/>
      <c r="E257" s="89"/>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87"/>
      <c r="AH257" s="87"/>
      <c r="AI257" s="87"/>
      <c r="AK257" s="87"/>
    </row>
    <row r="258">
      <c r="A258" s="97">
        <f t="shared" si="3"/>
        <v>254</v>
      </c>
      <c r="B258" s="88"/>
      <c r="C258" s="88"/>
      <c r="D258" s="89"/>
      <c r="E258" s="89"/>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87"/>
      <c r="AH258" s="87"/>
      <c r="AI258" s="87"/>
      <c r="AK258" s="87"/>
    </row>
    <row r="259">
      <c r="A259" s="97">
        <f t="shared" si="3"/>
        <v>255</v>
      </c>
      <c r="B259" s="88"/>
      <c r="C259" s="88"/>
      <c r="D259" s="89"/>
      <c r="E259" s="89"/>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87"/>
      <c r="AH259" s="87"/>
      <c r="AI259" s="87"/>
      <c r="AK259" s="87"/>
    </row>
    <row r="260">
      <c r="A260" s="97">
        <f t="shared" si="3"/>
        <v>256</v>
      </c>
      <c r="B260" s="88"/>
      <c r="C260" s="88"/>
      <c r="D260" s="89"/>
      <c r="E260" s="89"/>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87"/>
      <c r="AH260" s="87"/>
      <c r="AI260" s="87"/>
      <c r="AK260" s="87"/>
    </row>
    <row r="261">
      <c r="A261" s="97">
        <f t="shared" si="3"/>
        <v>257</v>
      </c>
      <c r="B261" s="88"/>
      <c r="C261" s="88"/>
      <c r="D261" s="89"/>
      <c r="E261" s="89"/>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87"/>
      <c r="AH261" s="87"/>
      <c r="AI261" s="87"/>
      <c r="AK261" s="87"/>
    </row>
    <row r="262">
      <c r="A262" s="97">
        <f t="shared" si="3"/>
        <v>258</v>
      </c>
      <c r="B262" s="88"/>
      <c r="C262" s="88"/>
      <c r="D262" s="89"/>
      <c r="E262" s="89"/>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87"/>
      <c r="AH262" s="87"/>
      <c r="AI262" s="87"/>
      <c r="AK262" s="87"/>
    </row>
    <row r="263">
      <c r="A263" s="97">
        <f t="shared" si="3"/>
        <v>259</v>
      </c>
      <c r="B263" s="88"/>
      <c r="C263" s="88"/>
      <c r="D263" s="89"/>
      <c r="E263" s="89"/>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87"/>
      <c r="AH263" s="87"/>
      <c r="AI263" s="87"/>
      <c r="AK263" s="87"/>
    </row>
    <row r="264">
      <c r="A264" s="97">
        <f t="shared" si="3"/>
        <v>260</v>
      </c>
      <c r="B264" s="88"/>
      <c r="C264" s="88"/>
      <c r="D264" s="89"/>
      <c r="E264" s="89"/>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87"/>
      <c r="AH264" s="87"/>
      <c r="AI264" s="87"/>
      <c r="AK264" s="87"/>
    </row>
    <row r="265">
      <c r="A265" s="97">
        <f t="shared" si="3"/>
        <v>261</v>
      </c>
      <c r="B265" s="88"/>
      <c r="C265" s="88"/>
      <c r="D265" s="89"/>
      <c r="E265" s="89"/>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87"/>
      <c r="AH265" s="87"/>
      <c r="AI265" s="87"/>
      <c r="AK265" s="87"/>
    </row>
    <row r="266">
      <c r="A266" s="97">
        <f t="shared" si="3"/>
        <v>262</v>
      </c>
      <c r="B266" s="88"/>
      <c r="C266" s="88"/>
      <c r="D266" s="89"/>
      <c r="E266" s="89"/>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87"/>
      <c r="AH266" s="87"/>
      <c r="AI266" s="87"/>
      <c r="AK266" s="87"/>
    </row>
    <row r="267">
      <c r="A267" s="97">
        <f t="shared" si="3"/>
        <v>263</v>
      </c>
      <c r="B267" s="88"/>
      <c r="C267" s="88"/>
      <c r="D267" s="89"/>
      <c r="E267" s="89"/>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87"/>
      <c r="AH267" s="87"/>
      <c r="AI267" s="87"/>
      <c r="AK267" s="87"/>
    </row>
    <row r="268">
      <c r="A268" s="97">
        <f t="shared" si="3"/>
        <v>264</v>
      </c>
      <c r="B268" s="88"/>
      <c r="C268" s="88"/>
      <c r="D268" s="89"/>
      <c r="E268" s="89"/>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87"/>
      <c r="AH268" s="87"/>
      <c r="AI268" s="87"/>
      <c r="AK268" s="87"/>
    </row>
    <row r="269">
      <c r="A269" s="97">
        <f t="shared" si="3"/>
        <v>265</v>
      </c>
      <c r="B269" s="88"/>
      <c r="C269" s="88"/>
      <c r="D269" s="89"/>
      <c r="E269" s="89"/>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87"/>
      <c r="AH269" s="87"/>
      <c r="AI269" s="87"/>
      <c r="AK269" s="87"/>
    </row>
    <row r="270">
      <c r="A270" s="97">
        <f t="shared" si="3"/>
        <v>266</v>
      </c>
      <c r="B270" s="88"/>
      <c r="C270" s="88"/>
      <c r="D270" s="89"/>
      <c r="E270" s="89"/>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87"/>
      <c r="AH270" s="87"/>
      <c r="AI270" s="87"/>
      <c r="AK270" s="87"/>
    </row>
    <row r="271">
      <c r="A271" s="97">
        <f t="shared" si="3"/>
        <v>267</v>
      </c>
      <c r="B271" s="88"/>
      <c r="C271" s="88"/>
      <c r="D271" s="89"/>
      <c r="E271" s="89"/>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87"/>
      <c r="AH271" s="87"/>
      <c r="AI271" s="87"/>
      <c r="AK271" s="87"/>
    </row>
    <row r="272">
      <c r="A272" s="97">
        <f t="shared" si="3"/>
        <v>268</v>
      </c>
      <c r="B272" s="88"/>
      <c r="C272" s="88"/>
      <c r="D272" s="89"/>
      <c r="E272" s="89"/>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87"/>
      <c r="AH272" s="87"/>
      <c r="AI272" s="87"/>
      <c r="AK272" s="87"/>
    </row>
    <row r="273">
      <c r="A273" s="97">
        <f t="shared" si="3"/>
        <v>269</v>
      </c>
      <c r="B273" s="88"/>
      <c r="C273" s="88"/>
      <c r="D273" s="89"/>
      <c r="E273" s="89"/>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87"/>
      <c r="AH273" s="87"/>
      <c r="AI273" s="87"/>
      <c r="AK273" s="87"/>
    </row>
    <row r="274">
      <c r="A274" s="97">
        <f t="shared" si="3"/>
        <v>270</v>
      </c>
      <c r="B274" s="88"/>
      <c r="C274" s="88"/>
      <c r="D274" s="89"/>
      <c r="E274" s="89"/>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87"/>
      <c r="AH274" s="87"/>
      <c r="AI274" s="87"/>
      <c r="AK274" s="87"/>
    </row>
    <row r="275">
      <c r="A275" s="97">
        <f t="shared" si="3"/>
        <v>271</v>
      </c>
      <c r="B275" s="88"/>
      <c r="C275" s="88"/>
      <c r="D275" s="89"/>
      <c r="E275" s="89"/>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87"/>
      <c r="AH275" s="87"/>
      <c r="AI275" s="87"/>
      <c r="AK275" s="87"/>
    </row>
    <row r="276">
      <c r="A276" s="97">
        <f t="shared" si="3"/>
        <v>272</v>
      </c>
      <c r="B276" s="88"/>
      <c r="C276" s="88"/>
      <c r="D276" s="89"/>
      <c r="E276" s="89"/>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87"/>
      <c r="AH276" s="87"/>
      <c r="AI276" s="87"/>
      <c r="AK276" s="87"/>
    </row>
    <row r="277">
      <c r="A277" s="97">
        <f t="shared" si="3"/>
        <v>273</v>
      </c>
      <c r="B277" s="88"/>
      <c r="C277" s="88"/>
      <c r="D277" s="89"/>
      <c r="E277" s="89"/>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87"/>
      <c r="AH277" s="87"/>
      <c r="AI277" s="87"/>
      <c r="AK277" s="87"/>
    </row>
    <row r="278">
      <c r="A278" s="97">
        <f t="shared" si="3"/>
        <v>274</v>
      </c>
      <c r="B278" s="88"/>
      <c r="C278" s="88"/>
      <c r="D278" s="89"/>
      <c r="E278" s="89"/>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87"/>
      <c r="AH278" s="87"/>
      <c r="AI278" s="87"/>
      <c r="AK278" s="87"/>
    </row>
    <row r="279">
      <c r="A279" s="97">
        <f t="shared" si="3"/>
        <v>275</v>
      </c>
      <c r="B279" s="88"/>
      <c r="C279" s="88"/>
      <c r="D279" s="89"/>
      <c r="E279" s="89"/>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87"/>
      <c r="AH279" s="87"/>
      <c r="AI279" s="87"/>
      <c r="AK279" s="87"/>
    </row>
    <row r="280">
      <c r="A280" s="97">
        <f t="shared" si="3"/>
        <v>276</v>
      </c>
      <c r="B280" s="88"/>
      <c r="C280" s="88"/>
      <c r="D280" s="89"/>
      <c r="E280" s="89"/>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87"/>
      <c r="AH280" s="87"/>
      <c r="AI280" s="87"/>
      <c r="AK280" s="87"/>
    </row>
    <row r="281">
      <c r="A281" s="97">
        <f t="shared" si="3"/>
        <v>277</v>
      </c>
      <c r="B281" s="88"/>
      <c r="C281" s="88"/>
      <c r="D281" s="89"/>
      <c r="E281" s="89"/>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87"/>
      <c r="AH281" s="87"/>
      <c r="AI281" s="87"/>
      <c r="AK281" s="87"/>
    </row>
    <row r="282">
      <c r="A282" s="97">
        <f t="shared" si="3"/>
        <v>278</v>
      </c>
      <c r="B282" s="88"/>
      <c r="C282" s="88"/>
      <c r="D282" s="89"/>
      <c r="E282" s="89"/>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87"/>
      <c r="AH282" s="87"/>
      <c r="AI282" s="87"/>
      <c r="AK282" s="87"/>
    </row>
    <row r="283">
      <c r="A283" s="97">
        <f t="shared" si="3"/>
        <v>279</v>
      </c>
      <c r="B283" s="88"/>
      <c r="C283" s="88"/>
      <c r="D283" s="89"/>
      <c r="E283" s="89"/>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87"/>
      <c r="AH283" s="87"/>
      <c r="AI283" s="87"/>
      <c r="AK283" s="87"/>
    </row>
    <row r="284">
      <c r="A284" s="97">
        <f t="shared" si="3"/>
        <v>280</v>
      </c>
      <c r="B284" s="88"/>
      <c r="C284" s="88"/>
      <c r="D284" s="89"/>
      <c r="E284" s="89"/>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87"/>
      <c r="AH284" s="87"/>
      <c r="AI284" s="87"/>
      <c r="AK284" s="87"/>
    </row>
    <row r="285">
      <c r="A285" s="97">
        <f t="shared" si="3"/>
        <v>281</v>
      </c>
      <c r="B285" s="88"/>
      <c r="C285" s="88"/>
      <c r="D285" s="89"/>
      <c r="E285" s="89"/>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87"/>
      <c r="AH285" s="87"/>
      <c r="AI285" s="87"/>
      <c r="AK285" s="87"/>
    </row>
    <row r="286">
      <c r="A286" s="97">
        <f t="shared" si="3"/>
        <v>282</v>
      </c>
      <c r="B286" s="88"/>
      <c r="C286" s="88"/>
      <c r="D286" s="89"/>
      <c r="E286" s="89"/>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87"/>
      <c r="AH286" s="87"/>
      <c r="AI286" s="87"/>
      <c r="AK286" s="87"/>
    </row>
    <row r="287">
      <c r="A287" s="97">
        <f t="shared" si="3"/>
        <v>283</v>
      </c>
      <c r="B287" s="88"/>
      <c r="C287" s="88"/>
      <c r="D287" s="89"/>
      <c r="E287" s="89"/>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87"/>
      <c r="AH287" s="87"/>
      <c r="AI287" s="87"/>
      <c r="AK287" s="87"/>
    </row>
    <row r="288">
      <c r="A288" s="97">
        <f t="shared" si="3"/>
        <v>284</v>
      </c>
      <c r="B288" s="88"/>
      <c r="C288" s="88"/>
      <c r="D288" s="89"/>
      <c r="E288" s="89"/>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87"/>
      <c r="AH288" s="87"/>
      <c r="AI288" s="87"/>
      <c r="AK288" s="87"/>
    </row>
    <row r="289">
      <c r="A289" s="97">
        <f t="shared" si="3"/>
        <v>285</v>
      </c>
      <c r="B289" s="88"/>
      <c r="C289" s="88"/>
      <c r="D289" s="89"/>
      <c r="E289" s="89"/>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87"/>
      <c r="AH289" s="87"/>
      <c r="AI289" s="87"/>
      <c r="AK289" s="87"/>
    </row>
    <row r="290">
      <c r="A290" s="97">
        <f t="shared" si="3"/>
        <v>286</v>
      </c>
      <c r="B290" s="88"/>
      <c r="C290" s="88"/>
      <c r="D290" s="89"/>
      <c r="E290" s="89"/>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87"/>
      <c r="AH290" s="87"/>
      <c r="AI290" s="87"/>
      <c r="AK290" s="87"/>
    </row>
    <row r="291">
      <c r="A291" s="97">
        <f t="shared" si="3"/>
        <v>287</v>
      </c>
      <c r="B291" s="88"/>
      <c r="C291" s="88"/>
      <c r="D291" s="89"/>
      <c r="E291" s="89"/>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87"/>
      <c r="AH291" s="87"/>
      <c r="AI291" s="87"/>
      <c r="AK291" s="87"/>
    </row>
    <row r="292">
      <c r="A292" s="97">
        <f t="shared" si="3"/>
        <v>288</v>
      </c>
      <c r="B292" s="88"/>
      <c r="C292" s="88"/>
      <c r="D292" s="89"/>
      <c r="E292" s="89"/>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87"/>
      <c r="AH292" s="87"/>
      <c r="AI292" s="87"/>
      <c r="AK292" s="87"/>
    </row>
    <row r="293">
      <c r="A293" s="97">
        <f t="shared" si="3"/>
        <v>289</v>
      </c>
      <c r="B293" s="88"/>
      <c r="C293" s="88"/>
      <c r="D293" s="89"/>
      <c r="E293" s="89"/>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87"/>
      <c r="AH293" s="87"/>
      <c r="AI293" s="87"/>
      <c r="AK293" s="87"/>
    </row>
    <row r="294">
      <c r="A294" s="97">
        <f t="shared" si="3"/>
        <v>290</v>
      </c>
      <c r="B294" s="88"/>
      <c r="C294" s="88"/>
      <c r="D294" s="89"/>
      <c r="E294" s="89"/>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87"/>
      <c r="AH294" s="87"/>
      <c r="AI294" s="87"/>
      <c r="AK294" s="87"/>
    </row>
    <row r="295">
      <c r="A295" s="97">
        <f t="shared" si="3"/>
        <v>291</v>
      </c>
      <c r="B295" s="88"/>
      <c r="C295" s="88"/>
      <c r="D295" s="89"/>
      <c r="E295" s="89"/>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87"/>
      <c r="AH295" s="87"/>
      <c r="AI295" s="87"/>
      <c r="AK295" s="87"/>
    </row>
    <row r="296">
      <c r="A296" s="97">
        <f t="shared" si="3"/>
        <v>292</v>
      </c>
      <c r="B296" s="88"/>
      <c r="C296" s="88"/>
      <c r="D296" s="89"/>
      <c r="E296" s="89"/>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87"/>
      <c r="AH296" s="87"/>
      <c r="AI296" s="87"/>
      <c r="AK296" s="87"/>
    </row>
    <row r="297">
      <c r="A297" s="97">
        <f t="shared" si="3"/>
        <v>293</v>
      </c>
      <c r="B297" s="88"/>
      <c r="C297" s="88"/>
      <c r="D297" s="89"/>
      <c r="E297" s="89"/>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87"/>
      <c r="AH297" s="87"/>
      <c r="AI297" s="87"/>
      <c r="AK297" s="87"/>
    </row>
    <row r="298">
      <c r="A298" s="97">
        <f t="shared" si="3"/>
        <v>294</v>
      </c>
      <c r="B298" s="88"/>
      <c r="C298" s="88"/>
      <c r="D298" s="89"/>
      <c r="E298" s="89"/>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87"/>
      <c r="AH298" s="87"/>
      <c r="AI298" s="87"/>
      <c r="AK298" s="87"/>
    </row>
    <row r="299">
      <c r="A299" s="97">
        <f t="shared" si="3"/>
        <v>295</v>
      </c>
      <c r="B299" s="88"/>
      <c r="C299" s="88"/>
      <c r="D299" s="89"/>
      <c r="E299" s="89"/>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87"/>
      <c r="AH299" s="87"/>
      <c r="AI299" s="87"/>
      <c r="AK299" s="87"/>
    </row>
    <row r="300">
      <c r="A300" s="97">
        <f t="shared" si="3"/>
        <v>296</v>
      </c>
      <c r="B300" s="88"/>
      <c r="C300" s="88"/>
      <c r="D300" s="89"/>
      <c r="E300" s="89"/>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87"/>
      <c r="AH300" s="87"/>
      <c r="AI300" s="87"/>
      <c r="AK300" s="87"/>
    </row>
    <row r="301">
      <c r="A301" s="97">
        <f t="shared" si="3"/>
        <v>297</v>
      </c>
      <c r="B301" s="88"/>
      <c r="C301" s="88"/>
      <c r="D301" s="89"/>
      <c r="E301" s="89"/>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87"/>
      <c r="AH301" s="87"/>
      <c r="AI301" s="87"/>
      <c r="AK301" s="87"/>
    </row>
    <row r="302">
      <c r="A302" s="97">
        <f t="shared" si="3"/>
        <v>298</v>
      </c>
      <c r="B302" s="88"/>
      <c r="C302" s="88"/>
      <c r="D302" s="89"/>
      <c r="E302" s="89"/>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87"/>
      <c r="AH302" s="87"/>
      <c r="AI302" s="87"/>
      <c r="AK302" s="87"/>
    </row>
    <row r="303">
      <c r="A303" s="97">
        <f t="shared" si="3"/>
        <v>299</v>
      </c>
      <c r="B303" s="88"/>
      <c r="C303" s="88"/>
      <c r="D303" s="89"/>
      <c r="E303" s="89"/>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87"/>
      <c r="AH303" s="87"/>
      <c r="AI303" s="87"/>
      <c r="AK303" s="87"/>
    </row>
    <row r="304">
      <c r="A304" s="97">
        <f t="shared" si="3"/>
        <v>300</v>
      </c>
      <c r="B304" s="88"/>
      <c r="C304" s="88"/>
      <c r="D304" s="89"/>
      <c r="E304" s="89"/>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87"/>
      <c r="AH304" s="87"/>
      <c r="AI304" s="87"/>
      <c r="AK304" s="87"/>
    </row>
    <row r="305">
      <c r="B305" s="88"/>
      <c r="C305" s="88"/>
      <c r="D305" s="89"/>
      <c r="E305" s="89"/>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87"/>
      <c r="AH305" s="87"/>
      <c r="AI305" s="87"/>
      <c r="AK305" s="87"/>
    </row>
    <row r="306">
      <c r="B306" s="88"/>
      <c r="C306" s="88"/>
      <c r="D306" s="89"/>
      <c r="E306" s="89"/>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87"/>
      <c r="AH306" s="87"/>
      <c r="AI306" s="87"/>
      <c r="AK306" s="87"/>
    </row>
    <row r="307">
      <c r="B307" s="88"/>
      <c r="C307" s="88"/>
      <c r="D307" s="89"/>
      <c r="E307" s="89"/>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87"/>
      <c r="AH307" s="87"/>
      <c r="AI307" s="87"/>
      <c r="AK307" s="87"/>
    </row>
    <row r="308">
      <c r="B308" s="88"/>
      <c r="C308" s="88"/>
      <c r="D308" s="89"/>
      <c r="E308" s="89"/>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87"/>
      <c r="AH308" s="87"/>
      <c r="AI308" s="87"/>
      <c r="AK308" s="87"/>
    </row>
    <row r="309">
      <c r="B309" s="88"/>
      <c r="C309" s="88"/>
      <c r="D309" s="89"/>
      <c r="E309" s="89"/>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87"/>
      <c r="AH309" s="87"/>
      <c r="AI309" s="87"/>
      <c r="AK309" s="87"/>
    </row>
    <row r="310">
      <c r="B310" s="88"/>
      <c r="C310" s="88"/>
      <c r="D310" s="89"/>
      <c r="E310" s="89"/>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87"/>
      <c r="AH310" s="87"/>
      <c r="AI310" s="87"/>
      <c r="AK310" s="87"/>
    </row>
    <row r="311">
      <c r="B311" s="88"/>
      <c r="C311" s="88"/>
      <c r="D311" s="89"/>
      <c r="E311" s="89"/>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87"/>
      <c r="AH311" s="87"/>
      <c r="AI311" s="87"/>
      <c r="AK311" s="87"/>
    </row>
    <row r="312">
      <c r="B312" s="88"/>
      <c r="C312" s="88"/>
      <c r="D312" s="89"/>
      <c r="E312" s="89"/>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87"/>
      <c r="AH312" s="87"/>
      <c r="AI312" s="87"/>
      <c r="AK312" s="87"/>
    </row>
    <row r="313">
      <c r="B313" s="88"/>
      <c r="C313" s="88"/>
      <c r="D313" s="89"/>
      <c r="E313" s="89"/>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87"/>
      <c r="AH313" s="87"/>
      <c r="AI313" s="87"/>
      <c r="AK313" s="87"/>
    </row>
    <row r="314">
      <c r="B314" s="88"/>
      <c r="C314" s="88"/>
      <c r="D314" s="89"/>
      <c r="E314" s="89"/>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87"/>
      <c r="AH314" s="87"/>
      <c r="AI314" s="87"/>
      <c r="AK314" s="87"/>
    </row>
    <row r="315">
      <c r="B315" s="88"/>
      <c r="C315" s="88"/>
      <c r="D315" s="89"/>
      <c r="E315" s="89"/>
      <c r="AG315" s="87"/>
      <c r="AH315" s="87"/>
      <c r="AI315" s="87"/>
      <c r="AK315" s="87"/>
    </row>
    <row r="316">
      <c r="B316" s="88"/>
      <c r="C316" s="88"/>
      <c r="D316" s="89"/>
      <c r="E316" s="89"/>
      <c r="AG316" s="87"/>
      <c r="AH316" s="87"/>
      <c r="AI316" s="87"/>
      <c r="AK316" s="87"/>
    </row>
    <row r="317">
      <c r="B317" s="88"/>
      <c r="C317" s="88"/>
      <c r="D317" s="89"/>
      <c r="E317" s="89"/>
      <c r="AG317" s="87"/>
      <c r="AH317" s="87"/>
      <c r="AI317" s="87"/>
      <c r="AK317" s="87"/>
    </row>
    <row r="318">
      <c r="B318" s="88"/>
      <c r="C318" s="88"/>
      <c r="D318" s="89"/>
      <c r="E318" s="89"/>
      <c r="AG318" s="87"/>
      <c r="AH318" s="87"/>
      <c r="AI318" s="87"/>
      <c r="AK318" s="87"/>
    </row>
    <row r="319">
      <c r="B319" s="88"/>
      <c r="C319" s="88"/>
      <c r="D319" s="89"/>
      <c r="E319" s="89"/>
      <c r="AG319" s="87"/>
      <c r="AH319" s="87"/>
      <c r="AI319" s="87"/>
      <c r="AK319" s="87"/>
    </row>
    <row r="320">
      <c r="B320" s="88"/>
      <c r="C320" s="88"/>
      <c r="D320" s="89"/>
      <c r="E320" s="89"/>
      <c r="AG320" s="87"/>
      <c r="AH320" s="87"/>
      <c r="AI320" s="87"/>
      <c r="AK320" s="87"/>
    </row>
    <row r="321">
      <c r="B321" s="88"/>
      <c r="C321" s="88"/>
      <c r="D321" s="89"/>
      <c r="E321" s="89"/>
      <c r="AG321" s="87"/>
      <c r="AH321" s="87"/>
      <c r="AI321" s="87"/>
      <c r="AK321" s="87"/>
    </row>
    <row r="322">
      <c r="B322" s="88"/>
      <c r="C322" s="88"/>
      <c r="D322" s="89"/>
      <c r="E322" s="89"/>
      <c r="AG322" s="87"/>
      <c r="AH322" s="87"/>
      <c r="AI322" s="87"/>
      <c r="AK322" s="87"/>
    </row>
    <row r="323">
      <c r="B323" s="88"/>
      <c r="C323" s="88"/>
      <c r="D323" s="89"/>
      <c r="E323" s="89"/>
      <c r="AG323" s="87"/>
      <c r="AH323" s="87"/>
      <c r="AI323" s="87"/>
      <c r="AK323" s="87"/>
    </row>
    <row r="324">
      <c r="B324" s="88"/>
      <c r="C324" s="88"/>
      <c r="D324" s="89"/>
      <c r="E324" s="89"/>
      <c r="AG324" s="87"/>
      <c r="AH324" s="87"/>
      <c r="AI324" s="87"/>
      <c r="AK324" s="87"/>
    </row>
    <row r="325">
      <c r="B325" s="88"/>
      <c r="C325" s="88"/>
      <c r="D325" s="89"/>
      <c r="E325" s="89"/>
      <c r="AG325" s="87"/>
      <c r="AH325" s="87"/>
      <c r="AI325" s="87"/>
      <c r="AK325" s="87"/>
    </row>
    <row r="326">
      <c r="B326" s="88"/>
      <c r="C326" s="88"/>
      <c r="D326" s="89"/>
      <c r="E326" s="89"/>
      <c r="AG326" s="87"/>
      <c r="AH326" s="87"/>
      <c r="AI326" s="87"/>
      <c r="AK326" s="87"/>
    </row>
    <row r="327">
      <c r="B327" s="88"/>
      <c r="C327" s="88"/>
      <c r="D327" s="89"/>
      <c r="E327" s="89"/>
      <c r="AG327" s="87"/>
      <c r="AH327" s="87"/>
      <c r="AI327" s="87"/>
      <c r="AK327" s="87"/>
    </row>
    <row r="328">
      <c r="B328" s="88"/>
      <c r="C328" s="88"/>
      <c r="D328" s="89"/>
      <c r="E328" s="89"/>
      <c r="AG328" s="87"/>
      <c r="AH328" s="87"/>
      <c r="AI328" s="87"/>
      <c r="AK328" s="87"/>
    </row>
    <row r="329">
      <c r="B329" s="88"/>
      <c r="C329" s="88"/>
      <c r="D329" s="89"/>
      <c r="E329" s="89"/>
      <c r="AG329" s="87"/>
      <c r="AH329" s="87"/>
      <c r="AI329" s="87"/>
      <c r="AK329" s="87"/>
    </row>
    <row r="330">
      <c r="B330" s="88"/>
      <c r="C330" s="88"/>
      <c r="D330" s="89"/>
      <c r="E330" s="89"/>
      <c r="AG330" s="87"/>
      <c r="AH330" s="87"/>
      <c r="AI330" s="87"/>
      <c r="AK330" s="87"/>
    </row>
    <row r="331">
      <c r="B331" s="88"/>
      <c r="C331" s="88"/>
      <c r="D331" s="89"/>
      <c r="E331" s="89"/>
      <c r="AG331" s="87"/>
      <c r="AH331" s="87"/>
      <c r="AI331" s="87"/>
      <c r="AK331" s="87"/>
    </row>
    <row r="332">
      <c r="B332" s="88"/>
      <c r="C332" s="88"/>
      <c r="D332" s="89"/>
      <c r="E332" s="89"/>
      <c r="AG332" s="87"/>
      <c r="AH332" s="87"/>
      <c r="AI332" s="87"/>
      <c r="AK332" s="87"/>
    </row>
    <row r="333">
      <c r="B333" s="88"/>
      <c r="C333" s="88"/>
      <c r="D333" s="89"/>
      <c r="E333" s="89"/>
      <c r="AG333" s="87"/>
      <c r="AH333" s="87"/>
      <c r="AI333" s="87"/>
      <c r="AK333" s="87"/>
    </row>
    <row r="334">
      <c r="B334" s="88"/>
      <c r="C334" s="88"/>
      <c r="D334" s="89"/>
      <c r="E334" s="89"/>
      <c r="AG334" s="87"/>
      <c r="AH334" s="87"/>
      <c r="AI334" s="87"/>
      <c r="AK334" s="87"/>
    </row>
    <row r="335">
      <c r="B335" s="88"/>
      <c r="C335" s="88"/>
      <c r="D335" s="89"/>
      <c r="E335" s="89"/>
      <c r="AG335" s="87"/>
      <c r="AH335" s="87"/>
      <c r="AI335" s="87"/>
      <c r="AK335" s="87"/>
    </row>
    <row r="336">
      <c r="B336" s="88"/>
      <c r="C336" s="88"/>
      <c r="D336" s="89"/>
      <c r="E336" s="89"/>
      <c r="AG336" s="87"/>
      <c r="AH336" s="87"/>
      <c r="AI336" s="87"/>
      <c r="AK336" s="87"/>
    </row>
    <row r="337">
      <c r="B337" s="88"/>
      <c r="C337" s="88"/>
      <c r="D337" s="89"/>
      <c r="E337" s="89"/>
      <c r="AG337" s="87"/>
      <c r="AH337" s="87"/>
      <c r="AI337" s="87"/>
      <c r="AK337" s="87"/>
    </row>
    <row r="338">
      <c r="B338" s="88"/>
      <c r="C338" s="88"/>
      <c r="D338" s="89"/>
      <c r="E338" s="89"/>
      <c r="AG338" s="87"/>
      <c r="AH338" s="87"/>
      <c r="AI338" s="87"/>
      <c r="AK338" s="87"/>
    </row>
    <row r="339">
      <c r="B339" s="88"/>
      <c r="C339" s="88"/>
      <c r="D339" s="89"/>
      <c r="E339" s="89"/>
      <c r="AG339" s="87"/>
      <c r="AH339" s="87"/>
      <c r="AI339" s="87"/>
      <c r="AK339" s="87"/>
    </row>
    <row r="340">
      <c r="B340" s="88"/>
      <c r="C340" s="88"/>
      <c r="D340" s="89"/>
      <c r="E340" s="89"/>
      <c r="AG340" s="87"/>
      <c r="AH340" s="87"/>
      <c r="AI340" s="87"/>
      <c r="AK340" s="87"/>
    </row>
    <row r="341">
      <c r="B341" s="88"/>
      <c r="C341" s="88"/>
      <c r="D341" s="89"/>
      <c r="E341" s="89"/>
      <c r="AG341" s="87"/>
      <c r="AH341" s="87"/>
      <c r="AI341" s="87"/>
      <c r="AK341" s="87"/>
    </row>
    <row r="342">
      <c r="B342" s="88"/>
      <c r="C342" s="88"/>
      <c r="D342" s="89"/>
      <c r="E342" s="89"/>
      <c r="AG342" s="87"/>
      <c r="AH342" s="87"/>
      <c r="AI342" s="87"/>
      <c r="AK342" s="87"/>
    </row>
    <row r="343">
      <c r="B343" s="88"/>
      <c r="C343" s="88"/>
      <c r="D343" s="89"/>
      <c r="E343" s="89"/>
      <c r="AG343" s="87"/>
      <c r="AH343" s="87"/>
      <c r="AI343" s="87"/>
      <c r="AK343" s="87"/>
    </row>
    <row r="344">
      <c r="B344" s="88"/>
      <c r="C344" s="88"/>
      <c r="D344" s="89"/>
      <c r="E344" s="89"/>
      <c r="AG344" s="87"/>
      <c r="AH344" s="87"/>
      <c r="AI344" s="87"/>
      <c r="AK344" s="87"/>
    </row>
    <row r="345">
      <c r="B345" s="88"/>
      <c r="C345" s="88"/>
      <c r="D345" s="89"/>
      <c r="E345" s="89"/>
      <c r="AG345" s="87"/>
      <c r="AH345" s="87"/>
      <c r="AI345" s="87"/>
      <c r="AK345" s="87"/>
    </row>
    <row r="346">
      <c r="B346" s="88"/>
      <c r="C346" s="88"/>
      <c r="D346" s="89"/>
      <c r="E346" s="89"/>
      <c r="AG346" s="87"/>
      <c r="AH346" s="87"/>
      <c r="AI346" s="87"/>
      <c r="AK346" s="87"/>
    </row>
    <row r="347">
      <c r="B347" s="88"/>
      <c r="C347" s="88"/>
      <c r="D347" s="89"/>
      <c r="E347" s="89"/>
      <c r="AG347" s="87"/>
      <c r="AH347" s="87"/>
      <c r="AI347" s="87"/>
      <c r="AK347" s="87"/>
    </row>
    <row r="348">
      <c r="B348" s="88"/>
      <c r="C348" s="88"/>
      <c r="D348" s="89"/>
      <c r="E348" s="89"/>
      <c r="AG348" s="87"/>
      <c r="AH348" s="87"/>
      <c r="AI348" s="87"/>
      <c r="AK348" s="87"/>
    </row>
    <row r="349">
      <c r="B349" s="88"/>
      <c r="C349" s="88"/>
      <c r="D349" s="89"/>
      <c r="E349" s="89"/>
      <c r="AG349" s="87"/>
      <c r="AH349" s="87"/>
      <c r="AI349" s="87"/>
      <c r="AK349" s="87"/>
    </row>
    <row r="350">
      <c r="B350" s="88"/>
      <c r="C350" s="88"/>
      <c r="D350" s="89"/>
      <c r="E350" s="89"/>
      <c r="AG350" s="87"/>
      <c r="AH350" s="87"/>
      <c r="AI350" s="87"/>
      <c r="AK350" s="87"/>
    </row>
    <row r="351">
      <c r="B351" s="88"/>
      <c r="C351" s="88"/>
      <c r="D351" s="89"/>
      <c r="E351" s="89"/>
      <c r="AG351" s="87"/>
      <c r="AH351" s="87"/>
      <c r="AI351" s="87"/>
      <c r="AK351" s="87"/>
    </row>
    <row r="352">
      <c r="B352" s="88"/>
      <c r="C352" s="88"/>
      <c r="D352" s="89"/>
      <c r="E352" s="89"/>
      <c r="AG352" s="87"/>
      <c r="AH352" s="87"/>
      <c r="AI352" s="87"/>
      <c r="AK352" s="87"/>
    </row>
    <row r="353">
      <c r="B353" s="88"/>
      <c r="C353" s="88"/>
      <c r="D353" s="89"/>
      <c r="E353" s="89"/>
      <c r="AG353" s="87"/>
      <c r="AH353" s="87"/>
      <c r="AI353" s="87"/>
      <c r="AK353" s="87"/>
    </row>
    <row r="354">
      <c r="B354" s="88"/>
      <c r="C354" s="88"/>
      <c r="D354" s="89"/>
      <c r="E354" s="89"/>
      <c r="AG354" s="87"/>
      <c r="AH354" s="87"/>
      <c r="AI354" s="87"/>
      <c r="AK354" s="87"/>
    </row>
    <row r="355">
      <c r="B355" s="88"/>
      <c r="C355" s="88"/>
      <c r="D355" s="89"/>
      <c r="E355" s="89"/>
      <c r="AG355" s="87"/>
      <c r="AH355" s="87"/>
      <c r="AI355" s="87"/>
      <c r="AK355" s="87"/>
    </row>
    <row r="356">
      <c r="B356" s="88"/>
      <c r="C356" s="88"/>
      <c r="D356" s="89"/>
      <c r="E356" s="89"/>
      <c r="AG356" s="87"/>
      <c r="AH356" s="87"/>
      <c r="AI356" s="87"/>
      <c r="AK356" s="87"/>
    </row>
    <row r="357">
      <c r="B357" s="88"/>
      <c r="C357" s="88"/>
      <c r="D357" s="89"/>
      <c r="E357" s="89"/>
      <c r="AG357" s="87"/>
      <c r="AH357" s="87"/>
      <c r="AI357" s="87"/>
      <c r="AK357" s="87"/>
    </row>
    <row r="358">
      <c r="B358" s="88"/>
      <c r="C358" s="88"/>
      <c r="D358" s="89"/>
      <c r="E358" s="89"/>
      <c r="AG358" s="87"/>
      <c r="AH358" s="87"/>
      <c r="AI358" s="87"/>
      <c r="AK358" s="87"/>
    </row>
    <row r="359">
      <c r="B359" s="88"/>
      <c r="C359" s="88"/>
      <c r="D359" s="89"/>
      <c r="E359" s="89"/>
      <c r="AG359" s="87"/>
      <c r="AH359" s="87"/>
      <c r="AI359" s="87"/>
      <c r="AK359" s="87"/>
    </row>
    <row r="360">
      <c r="B360" s="88"/>
      <c r="C360" s="88"/>
      <c r="D360" s="89"/>
      <c r="E360" s="89"/>
      <c r="AG360" s="87"/>
      <c r="AH360" s="87"/>
      <c r="AI360" s="87"/>
      <c r="AK360" s="87"/>
    </row>
    <row r="361">
      <c r="B361" s="88"/>
      <c r="C361" s="88"/>
      <c r="D361" s="89"/>
      <c r="E361" s="89"/>
      <c r="AG361" s="87"/>
      <c r="AH361" s="87"/>
      <c r="AI361" s="87"/>
      <c r="AK361" s="87"/>
    </row>
    <row r="362">
      <c r="B362" s="88"/>
      <c r="C362" s="88"/>
      <c r="D362" s="89"/>
      <c r="E362" s="89"/>
      <c r="AG362" s="87"/>
      <c r="AH362" s="87"/>
      <c r="AI362" s="87"/>
      <c r="AK362" s="87"/>
    </row>
    <row r="363">
      <c r="B363" s="88"/>
      <c r="C363" s="88"/>
      <c r="D363" s="89"/>
      <c r="E363" s="89"/>
      <c r="AG363" s="87"/>
      <c r="AH363" s="87"/>
      <c r="AI363" s="87"/>
      <c r="AK363" s="87"/>
    </row>
    <row r="364">
      <c r="B364" s="88"/>
      <c r="C364" s="88"/>
      <c r="D364" s="89"/>
      <c r="E364" s="89"/>
      <c r="AG364" s="87"/>
      <c r="AH364" s="87"/>
      <c r="AI364" s="87"/>
      <c r="AK364" s="87"/>
    </row>
    <row r="365">
      <c r="B365" s="88"/>
      <c r="C365" s="88"/>
      <c r="D365" s="89"/>
      <c r="E365" s="89"/>
      <c r="AG365" s="87"/>
      <c r="AH365" s="87"/>
      <c r="AI365" s="87"/>
      <c r="AK365" s="87"/>
    </row>
    <row r="366">
      <c r="B366" s="88"/>
      <c r="C366" s="88"/>
      <c r="D366" s="89"/>
      <c r="E366" s="89"/>
      <c r="AG366" s="87"/>
      <c r="AH366" s="87"/>
      <c r="AI366" s="87"/>
      <c r="AK366" s="87"/>
    </row>
    <row r="367">
      <c r="B367" s="88"/>
      <c r="C367" s="88"/>
      <c r="D367" s="89"/>
      <c r="E367" s="89"/>
      <c r="AG367" s="87"/>
      <c r="AH367" s="87"/>
      <c r="AI367" s="87"/>
      <c r="AK367" s="87"/>
    </row>
    <row r="368">
      <c r="B368" s="88"/>
      <c r="C368" s="88"/>
      <c r="D368" s="89"/>
      <c r="E368" s="89"/>
      <c r="AG368" s="87"/>
      <c r="AH368" s="87"/>
      <c r="AI368" s="87"/>
      <c r="AK368" s="87"/>
    </row>
    <row r="369">
      <c r="B369" s="88"/>
      <c r="C369" s="88"/>
      <c r="D369" s="89"/>
      <c r="E369" s="89"/>
      <c r="AG369" s="87"/>
      <c r="AH369" s="87"/>
      <c r="AI369" s="87"/>
      <c r="AK369" s="87"/>
    </row>
    <row r="370">
      <c r="B370" s="88"/>
      <c r="C370" s="88"/>
      <c r="D370" s="89"/>
      <c r="E370" s="89"/>
      <c r="AG370" s="87"/>
      <c r="AH370" s="87"/>
      <c r="AI370" s="87"/>
      <c r="AK370" s="87"/>
    </row>
    <row r="371">
      <c r="B371" s="88"/>
      <c r="C371" s="88"/>
      <c r="D371" s="89"/>
      <c r="E371" s="89"/>
      <c r="AG371" s="87"/>
      <c r="AH371" s="87"/>
      <c r="AI371" s="87"/>
      <c r="AK371" s="87"/>
    </row>
    <row r="372">
      <c r="B372" s="88"/>
      <c r="C372" s="88"/>
      <c r="D372" s="89"/>
      <c r="E372" s="89"/>
      <c r="AG372" s="87"/>
      <c r="AH372" s="87"/>
      <c r="AI372" s="87"/>
      <c r="AK372" s="87"/>
    </row>
    <row r="373">
      <c r="B373" s="88"/>
      <c r="C373" s="88"/>
      <c r="D373" s="89"/>
      <c r="E373" s="89"/>
      <c r="AG373" s="87"/>
      <c r="AH373" s="87"/>
      <c r="AI373" s="87"/>
      <c r="AK373" s="87"/>
    </row>
    <row r="374">
      <c r="B374" s="88"/>
      <c r="C374" s="88"/>
      <c r="D374" s="89"/>
      <c r="E374" s="89"/>
      <c r="AG374" s="87"/>
      <c r="AH374" s="87"/>
      <c r="AI374" s="87"/>
      <c r="AK374" s="87"/>
    </row>
    <row r="375">
      <c r="B375" s="88"/>
      <c r="C375" s="88"/>
      <c r="D375" s="89"/>
      <c r="E375" s="89"/>
      <c r="AG375" s="87"/>
      <c r="AH375" s="87"/>
      <c r="AI375" s="87"/>
      <c r="AK375" s="87"/>
    </row>
    <row r="376">
      <c r="B376" s="88"/>
      <c r="C376" s="88"/>
      <c r="D376" s="89"/>
      <c r="E376" s="89"/>
      <c r="AG376" s="87"/>
      <c r="AH376" s="87"/>
      <c r="AI376" s="87"/>
      <c r="AK376" s="87"/>
    </row>
    <row r="377">
      <c r="B377" s="88"/>
      <c r="C377" s="88"/>
      <c r="D377" s="89"/>
      <c r="E377" s="89"/>
      <c r="AG377" s="87"/>
      <c r="AH377" s="87"/>
      <c r="AI377" s="87"/>
      <c r="AK377" s="87"/>
    </row>
    <row r="378">
      <c r="B378" s="88"/>
      <c r="C378" s="88"/>
      <c r="D378" s="89"/>
      <c r="E378" s="89"/>
      <c r="AG378" s="87"/>
      <c r="AH378" s="87"/>
      <c r="AI378" s="87"/>
      <c r="AK378" s="87"/>
    </row>
    <row r="379">
      <c r="B379" s="88"/>
      <c r="C379" s="88"/>
      <c r="D379" s="89"/>
      <c r="E379" s="89"/>
      <c r="AG379" s="87"/>
      <c r="AH379" s="87"/>
      <c r="AI379" s="87"/>
      <c r="AK379" s="87"/>
    </row>
    <row r="380">
      <c r="B380" s="88"/>
      <c r="C380" s="88"/>
      <c r="D380" s="89"/>
      <c r="E380" s="89"/>
      <c r="AG380" s="87"/>
      <c r="AH380" s="87"/>
      <c r="AI380" s="87"/>
      <c r="AK380" s="87"/>
    </row>
    <row r="381">
      <c r="B381" s="88"/>
      <c r="C381" s="88"/>
      <c r="D381" s="89"/>
      <c r="E381" s="89"/>
      <c r="AG381" s="87"/>
      <c r="AH381" s="87"/>
      <c r="AI381" s="87"/>
      <c r="AK381" s="87"/>
    </row>
    <row r="382">
      <c r="B382" s="88"/>
      <c r="C382" s="88"/>
      <c r="D382" s="89"/>
      <c r="E382" s="89"/>
      <c r="AG382" s="87"/>
      <c r="AH382" s="87"/>
      <c r="AI382" s="87"/>
      <c r="AK382" s="87"/>
    </row>
    <row r="383">
      <c r="B383" s="88"/>
      <c r="C383" s="88"/>
      <c r="D383" s="89"/>
      <c r="E383" s="89"/>
      <c r="AG383" s="87"/>
      <c r="AH383" s="87"/>
      <c r="AI383" s="87"/>
      <c r="AK383" s="87"/>
    </row>
    <row r="384">
      <c r="B384" s="88"/>
      <c r="C384" s="88"/>
      <c r="D384" s="89"/>
      <c r="E384" s="89"/>
      <c r="AG384" s="87"/>
      <c r="AH384" s="87"/>
      <c r="AI384" s="87"/>
      <c r="AK384" s="87"/>
    </row>
    <row r="385">
      <c r="B385" s="88"/>
      <c r="C385" s="88"/>
      <c r="D385" s="89"/>
      <c r="E385" s="89"/>
      <c r="AG385" s="87"/>
      <c r="AH385" s="87"/>
      <c r="AI385" s="87"/>
      <c r="AK385" s="87"/>
    </row>
    <row r="386">
      <c r="B386" s="88"/>
      <c r="C386" s="88"/>
      <c r="D386" s="89"/>
      <c r="E386" s="89"/>
      <c r="AG386" s="87"/>
      <c r="AH386" s="87"/>
      <c r="AI386" s="87"/>
      <c r="AK386" s="87"/>
    </row>
    <row r="387">
      <c r="B387" s="88"/>
      <c r="C387" s="88"/>
      <c r="D387" s="89"/>
      <c r="E387" s="89"/>
      <c r="AG387" s="87"/>
      <c r="AH387" s="87"/>
      <c r="AI387" s="87"/>
      <c r="AK387" s="87"/>
    </row>
    <row r="388">
      <c r="B388" s="88"/>
      <c r="C388" s="88"/>
      <c r="D388" s="89"/>
      <c r="E388" s="89"/>
      <c r="AG388" s="87"/>
      <c r="AH388" s="87"/>
      <c r="AI388" s="87"/>
      <c r="AK388" s="87"/>
    </row>
    <row r="389">
      <c r="B389" s="88"/>
      <c r="C389" s="88"/>
      <c r="D389" s="89"/>
      <c r="E389" s="89"/>
      <c r="AG389" s="87"/>
      <c r="AH389" s="87"/>
      <c r="AI389" s="87"/>
      <c r="AK389" s="87"/>
    </row>
    <row r="390">
      <c r="B390" s="88"/>
      <c r="C390" s="88"/>
      <c r="D390" s="89"/>
      <c r="E390" s="89"/>
      <c r="AG390" s="87"/>
      <c r="AH390" s="87"/>
      <c r="AI390" s="87"/>
      <c r="AK390" s="87"/>
    </row>
    <row r="391">
      <c r="B391" s="88"/>
      <c r="C391" s="88"/>
      <c r="D391" s="89"/>
      <c r="E391" s="89"/>
      <c r="AG391" s="87"/>
      <c r="AH391" s="87"/>
      <c r="AI391" s="87"/>
      <c r="AK391" s="87"/>
    </row>
    <row r="392">
      <c r="B392" s="88"/>
      <c r="C392" s="88"/>
      <c r="D392" s="89"/>
      <c r="E392" s="89"/>
      <c r="AG392" s="87"/>
      <c r="AH392" s="87"/>
      <c r="AI392" s="87"/>
      <c r="AK392" s="87"/>
    </row>
    <row r="393">
      <c r="B393" s="88"/>
      <c r="C393" s="88"/>
      <c r="D393" s="89"/>
      <c r="E393" s="89"/>
      <c r="AG393" s="87"/>
      <c r="AH393" s="87"/>
      <c r="AI393" s="87"/>
      <c r="AK393" s="87"/>
    </row>
    <row r="394">
      <c r="B394" s="88"/>
      <c r="C394" s="88"/>
      <c r="D394" s="89"/>
      <c r="E394" s="89"/>
      <c r="AG394" s="87"/>
      <c r="AH394" s="87"/>
      <c r="AI394" s="87"/>
      <c r="AK394" s="87"/>
    </row>
    <row r="395">
      <c r="B395" s="88"/>
      <c r="C395" s="88"/>
      <c r="D395" s="89"/>
      <c r="E395" s="89"/>
      <c r="AG395" s="87"/>
      <c r="AH395" s="87"/>
      <c r="AI395" s="87"/>
      <c r="AK395" s="87"/>
    </row>
    <row r="396">
      <c r="B396" s="88"/>
      <c r="C396" s="88"/>
      <c r="D396" s="89"/>
      <c r="E396" s="89"/>
      <c r="AG396" s="87"/>
      <c r="AH396" s="87"/>
      <c r="AI396" s="87"/>
      <c r="AK396" s="87"/>
    </row>
    <row r="397">
      <c r="B397" s="88"/>
      <c r="C397" s="88"/>
      <c r="D397" s="89"/>
      <c r="E397" s="89"/>
      <c r="AG397" s="87"/>
      <c r="AH397" s="87"/>
      <c r="AI397" s="87"/>
      <c r="AK397" s="87"/>
    </row>
    <row r="398">
      <c r="B398" s="88"/>
      <c r="C398" s="88"/>
      <c r="D398" s="89"/>
      <c r="E398" s="89"/>
      <c r="AG398" s="87"/>
      <c r="AH398" s="87"/>
      <c r="AI398" s="87"/>
      <c r="AK398" s="87"/>
    </row>
    <row r="399">
      <c r="B399" s="88"/>
      <c r="C399" s="88"/>
      <c r="D399" s="89"/>
      <c r="E399" s="89"/>
      <c r="AG399" s="87"/>
      <c r="AH399" s="87"/>
      <c r="AI399" s="87"/>
      <c r="AK399" s="87"/>
    </row>
    <row r="400">
      <c r="B400" s="88"/>
      <c r="C400" s="88"/>
      <c r="D400" s="89"/>
      <c r="E400" s="89"/>
      <c r="AG400" s="87"/>
      <c r="AH400" s="87"/>
      <c r="AI400" s="87"/>
      <c r="AK400" s="87"/>
    </row>
    <row r="401">
      <c r="B401" s="88"/>
      <c r="C401" s="88"/>
      <c r="D401" s="89"/>
      <c r="E401" s="89"/>
      <c r="AG401" s="87"/>
      <c r="AH401" s="87"/>
      <c r="AI401" s="87"/>
      <c r="AK401" s="87"/>
    </row>
    <row r="402">
      <c r="B402" s="88"/>
      <c r="C402" s="88"/>
      <c r="D402" s="89"/>
      <c r="E402" s="89"/>
      <c r="AG402" s="87"/>
      <c r="AH402" s="87"/>
      <c r="AI402" s="87"/>
      <c r="AK402" s="87"/>
    </row>
    <row r="403">
      <c r="B403" s="88"/>
      <c r="C403" s="88"/>
      <c r="D403" s="89"/>
      <c r="E403" s="89"/>
      <c r="AG403" s="87"/>
      <c r="AH403" s="87"/>
      <c r="AI403" s="87"/>
      <c r="AK403" s="87"/>
    </row>
    <row r="404">
      <c r="B404" s="88"/>
      <c r="C404" s="88"/>
      <c r="D404" s="89"/>
      <c r="E404" s="89"/>
      <c r="AG404" s="87"/>
      <c r="AH404" s="87"/>
      <c r="AI404" s="87"/>
      <c r="AK404" s="87"/>
    </row>
    <row r="405">
      <c r="B405" s="88"/>
      <c r="C405" s="88"/>
      <c r="D405" s="89"/>
      <c r="E405" s="89"/>
      <c r="AG405" s="87"/>
      <c r="AH405" s="87"/>
      <c r="AI405" s="87"/>
      <c r="AK405" s="87"/>
    </row>
    <row r="406">
      <c r="B406" s="88"/>
      <c r="C406" s="88"/>
      <c r="D406" s="89"/>
      <c r="E406" s="89"/>
      <c r="AG406" s="87"/>
      <c r="AH406" s="87"/>
      <c r="AI406" s="87"/>
      <c r="AK406" s="87"/>
    </row>
    <row r="407">
      <c r="B407" s="88"/>
      <c r="C407" s="88"/>
      <c r="D407" s="89"/>
      <c r="E407" s="89"/>
      <c r="AG407" s="87"/>
      <c r="AH407" s="87"/>
      <c r="AI407" s="87"/>
      <c r="AK407" s="87"/>
    </row>
    <row r="408">
      <c r="B408" s="88"/>
      <c r="C408" s="88"/>
      <c r="D408" s="89"/>
      <c r="E408" s="89"/>
      <c r="AG408" s="87"/>
      <c r="AH408" s="87"/>
      <c r="AI408" s="87"/>
      <c r="AK408" s="87"/>
    </row>
    <row r="409">
      <c r="B409" s="88"/>
      <c r="C409" s="88"/>
      <c r="D409" s="89"/>
      <c r="E409" s="89"/>
      <c r="AG409" s="87"/>
      <c r="AH409" s="87"/>
      <c r="AI409" s="87"/>
      <c r="AK409" s="87"/>
    </row>
    <row r="410">
      <c r="B410" s="88"/>
      <c r="C410" s="88"/>
      <c r="D410" s="89"/>
      <c r="E410" s="89"/>
      <c r="AG410" s="87"/>
      <c r="AH410" s="87"/>
      <c r="AI410" s="87"/>
      <c r="AK410" s="87"/>
    </row>
    <row r="411">
      <c r="B411" s="88"/>
      <c r="C411" s="88"/>
      <c r="D411" s="89"/>
      <c r="E411" s="89"/>
      <c r="AG411" s="87"/>
      <c r="AH411" s="87"/>
      <c r="AI411" s="87"/>
      <c r="AK411" s="87"/>
    </row>
    <row r="412">
      <c r="B412" s="88"/>
      <c r="C412" s="88"/>
      <c r="D412" s="89"/>
      <c r="E412" s="89"/>
      <c r="AG412" s="87"/>
      <c r="AH412" s="87"/>
      <c r="AI412" s="87"/>
      <c r="AK412" s="87"/>
    </row>
    <row r="413">
      <c r="B413" s="88"/>
      <c r="C413" s="88"/>
      <c r="D413" s="89"/>
      <c r="E413" s="89"/>
      <c r="AG413" s="87"/>
      <c r="AH413" s="87"/>
      <c r="AI413" s="87"/>
      <c r="AK413" s="87"/>
    </row>
    <row r="414">
      <c r="B414" s="88"/>
      <c r="C414" s="88"/>
      <c r="D414" s="89"/>
      <c r="E414" s="89"/>
      <c r="AG414" s="87"/>
      <c r="AH414" s="87"/>
      <c r="AI414" s="87"/>
      <c r="AK414" s="87"/>
    </row>
    <row r="415">
      <c r="B415" s="88"/>
      <c r="C415" s="88"/>
      <c r="D415" s="89"/>
      <c r="E415" s="89"/>
      <c r="AG415" s="87"/>
      <c r="AH415" s="87"/>
      <c r="AI415" s="87"/>
      <c r="AK415" s="87"/>
    </row>
    <row r="416">
      <c r="B416" s="88"/>
      <c r="C416" s="88"/>
      <c r="D416" s="89"/>
      <c r="E416" s="89"/>
      <c r="AG416" s="87"/>
      <c r="AH416" s="87"/>
      <c r="AI416" s="87"/>
      <c r="AK416" s="87"/>
    </row>
    <row r="417">
      <c r="B417" s="88"/>
      <c r="C417" s="88"/>
      <c r="D417" s="89"/>
      <c r="E417" s="89"/>
      <c r="AG417" s="87"/>
      <c r="AH417" s="87"/>
      <c r="AI417" s="87"/>
      <c r="AK417" s="87"/>
    </row>
    <row r="418">
      <c r="B418" s="88"/>
      <c r="C418" s="88"/>
      <c r="D418" s="89"/>
      <c r="E418" s="89"/>
      <c r="AG418" s="87"/>
      <c r="AH418" s="87"/>
      <c r="AI418" s="87"/>
      <c r="AK418" s="87"/>
    </row>
    <row r="419">
      <c r="B419" s="88"/>
      <c r="C419" s="88"/>
      <c r="D419" s="89"/>
      <c r="E419" s="89"/>
      <c r="AG419" s="87"/>
      <c r="AH419" s="87"/>
      <c r="AI419" s="87"/>
      <c r="AK419" s="87"/>
    </row>
    <row r="420">
      <c r="B420" s="88"/>
      <c r="C420" s="88"/>
      <c r="D420" s="89"/>
      <c r="E420" s="89"/>
      <c r="AG420" s="87"/>
      <c r="AH420" s="87"/>
      <c r="AI420" s="87"/>
      <c r="AK420" s="87"/>
    </row>
    <row r="421">
      <c r="B421" s="88"/>
      <c r="C421" s="88"/>
      <c r="D421" s="89"/>
      <c r="E421" s="89"/>
      <c r="AG421" s="87"/>
      <c r="AH421" s="87"/>
      <c r="AI421" s="87"/>
      <c r="AK421" s="87"/>
    </row>
    <row r="422">
      <c r="B422" s="88"/>
      <c r="C422" s="88"/>
      <c r="D422" s="89"/>
      <c r="E422" s="89"/>
      <c r="AG422" s="87"/>
      <c r="AH422" s="87"/>
      <c r="AI422" s="87"/>
      <c r="AK422" s="87"/>
    </row>
    <row r="423">
      <c r="B423" s="88"/>
      <c r="C423" s="88"/>
      <c r="D423" s="89"/>
      <c r="E423" s="89"/>
      <c r="AG423" s="87"/>
      <c r="AH423" s="87"/>
      <c r="AI423" s="87"/>
      <c r="AK423" s="87"/>
    </row>
    <row r="424">
      <c r="B424" s="88"/>
      <c r="C424" s="88"/>
      <c r="D424" s="89"/>
      <c r="E424" s="89"/>
      <c r="AG424" s="87"/>
      <c r="AH424" s="87"/>
      <c r="AI424" s="87"/>
      <c r="AK424" s="87"/>
    </row>
    <row r="425">
      <c r="B425" s="88"/>
      <c r="C425" s="88"/>
      <c r="D425" s="89"/>
      <c r="E425" s="89"/>
      <c r="AG425" s="87"/>
      <c r="AH425" s="87"/>
      <c r="AI425" s="87"/>
      <c r="AK425" s="87"/>
    </row>
    <row r="426">
      <c r="B426" s="88"/>
      <c r="C426" s="88"/>
      <c r="D426" s="89"/>
      <c r="E426" s="89"/>
      <c r="AG426" s="87"/>
      <c r="AH426" s="87"/>
      <c r="AI426" s="87"/>
      <c r="AK426" s="87"/>
    </row>
    <row r="427">
      <c r="B427" s="88"/>
      <c r="C427" s="88"/>
      <c r="D427" s="89"/>
      <c r="E427" s="89"/>
      <c r="AG427" s="87"/>
      <c r="AH427" s="87"/>
      <c r="AI427" s="87"/>
      <c r="AK427" s="87"/>
    </row>
    <row r="428">
      <c r="B428" s="88"/>
      <c r="C428" s="88"/>
      <c r="D428" s="89"/>
      <c r="E428" s="89"/>
      <c r="AG428" s="87"/>
      <c r="AH428" s="87"/>
      <c r="AI428" s="87"/>
      <c r="AK428" s="87"/>
    </row>
    <row r="429">
      <c r="B429" s="88"/>
      <c r="C429" s="88"/>
      <c r="D429" s="89"/>
      <c r="E429" s="89"/>
      <c r="AG429" s="87"/>
      <c r="AH429" s="87"/>
      <c r="AI429" s="87"/>
      <c r="AK429" s="87"/>
    </row>
    <row r="430">
      <c r="B430" s="88"/>
      <c r="C430" s="88"/>
      <c r="D430" s="89"/>
      <c r="E430" s="89"/>
      <c r="AG430" s="87"/>
      <c r="AH430" s="87"/>
      <c r="AI430" s="87"/>
      <c r="AK430" s="87"/>
    </row>
    <row r="431">
      <c r="B431" s="88"/>
      <c r="C431" s="88"/>
      <c r="D431" s="89"/>
      <c r="E431" s="89"/>
      <c r="AG431" s="87"/>
      <c r="AH431" s="87"/>
      <c r="AI431" s="87"/>
      <c r="AK431" s="87"/>
    </row>
    <row r="432">
      <c r="B432" s="88"/>
      <c r="C432" s="88"/>
      <c r="D432" s="89"/>
      <c r="E432" s="89"/>
      <c r="AG432" s="87"/>
      <c r="AH432" s="87"/>
      <c r="AI432" s="87"/>
      <c r="AK432" s="87"/>
    </row>
    <row r="433">
      <c r="B433" s="88"/>
      <c r="C433" s="88"/>
      <c r="D433" s="89"/>
      <c r="E433" s="89"/>
      <c r="AG433" s="87"/>
      <c r="AH433" s="87"/>
      <c r="AI433" s="87"/>
      <c r="AK433" s="87"/>
    </row>
    <row r="434">
      <c r="B434" s="88"/>
      <c r="C434" s="88"/>
      <c r="D434" s="89"/>
      <c r="E434" s="89"/>
      <c r="AG434" s="87"/>
      <c r="AH434" s="87"/>
      <c r="AI434" s="87"/>
      <c r="AK434" s="87"/>
    </row>
    <row r="435">
      <c r="B435" s="88"/>
      <c r="C435" s="88"/>
      <c r="D435" s="89"/>
      <c r="E435" s="89"/>
      <c r="AG435" s="87"/>
      <c r="AH435" s="87"/>
      <c r="AI435" s="87"/>
      <c r="AK435" s="87"/>
    </row>
    <row r="436">
      <c r="B436" s="88"/>
      <c r="C436" s="88"/>
      <c r="D436" s="89"/>
      <c r="E436" s="89"/>
      <c r="AG436" s="87"/>
      <c r="AH436" s="87"/>
      <c r="AI436" s="87"/>
      <c r="AK436" s="87"/>
    </row>
    <row r="437">
      <c r="B437" s="88"/>
      <c r="C437" s="88"/>
      <c r="D437" s="89"/>
      <c r="E437" s="89"/>
      <c r="AG437" s="87"/>
      <c r="AH437" s="87"/>
      <c r="AI437" s="87"/>
      <c r="AK437" s="87"/>
    </row>
    <row r="438">
      <c r="B438" s="88"/>
      <c r="C438" s="88"/>
      <c r="D438" s="89"/>
      <c r="E438" s="89"/>
      <c r="AG438" s="87"/>
      <c r="AH438" s="87"/>
      <c r="AI438" s="87"/>
      <c r="AK438" s="87"/>
    </row>
    <row r="439">
      <c r="B439" s="88"/>
      <c r="C439" s="88"/>
      <c r="D439" s="89"/>
      <c r="E439" s="89"/>
      <c r="AG439" s="87"/>
      <c r="AH439" s="87"/>
      <c r="AI439" s="87"/>
      <c r="AK439" s="87"/>
    </row>
    <row r="440">
      <c r="B440" s="88"/>
      <c r="C440" s="88"/>
      <c r="D440" s="89"/>
      <c r="E440" s="89"/>
      <c r="AG440" s="87"/>
      <c r="AH440" s="87"/>
      <c r="AI440" s="87"/>
      <c r="AK440" s="87"/>
    </row>
    <row r="441">
      <c r="B441" s="88"/>
      <c r="C441" s="88"/>
      <c r="D441" s="89"/>
      <c r="E441" s="89"/>
      <c r="AG441" s="87"/>
      <c r="AH441" s="87"/>
      <c r="AI441" s="87"/>
      <c r="AK441" s="87"/>
    </row>
    <row r="442">
      <c r="B442" s="88"/>
      <c r="C442" s="88"/>
      <c r="D442" s="89"/>
      <c r="E442" s="89"/>
      <c r="AG442" s="87"/>
      <c r="AH442" s="87"/>
      <c r="AI442" s="87"/>
      <c r="AK442" s="87"/>
    </row>
    <row r="443">
      <c r="B443" s="88"/>
      <c r="C443" s="88"/>
      <c r="D443" s="89"/>
      <c r="E443" s="89"/>
      <c r="AG443" s="87"/>
      <c r="AH443" s="87"/>
      <c r="AI443" s="87"/>
      <c r="AK443" s="87"/>
    </row>
    <row r="444">
      <c r="B444" s="88"/>
      <c r="C444" s="88"/>
      <c r="D444" s="89"/>
      <c r="E444" s="89"/>
      <c r="AG444" s="87"/>
      <c r="AH444" s="87"/>
      <c r="AI444" s="87"/>
      <c r="AK444" s="87"/>
    </row>
    <row r="445">
      <c r="B445" s="88"/>
      <c r="C445" s="88"/>
      <c r="D445" s="89"/>
      <c r="E445" s="89"/>
      <c r="AG445" s="87"/>
      <c r="AH445" s="87"/>
      <c r="AI445" s="87"/>
      <c r="AK445" s="87"/>
    </row>
    <row r="446">
      <c r="B446" s="88"/>
      <c r="C446" s="88"/>
      <c r="D446" s="89"/>
      <c r="E446" s="89"/>
      <c r="AG446" s="87"/>
      <c r="AH446" s="87"/>
      <c r="AI446" s="87"/>
      <c r="AK446" s="87"/>
    </row>
    <row r="447">
      <c r="B447" s="88"/>
      <c r="C447" s="88"/>
      <c r="D447" s="89"/>
      <c r="E447" s="89"/>
      <c r="AG447" s="87"/>
      <c r="AH447" s="87"/>
      <c r="AI447" s="87"/>
      <c r="AK447" s="87"/>
    </row>
    <row r="448">
      <c r="B448" s="88"/>
      <c r="C448" s="88"/>
      <c r="D448" s="89"/>
      <c r="E448" s="89"/>
      <c r="AG448" s="87"/>
      <c r="AH448" s="87"/>
      <c r="AI448" s="87"/>
      <c r="AK448" s="87"/>
    </row>
    <row r="449">
      <c r="B449" s="88"/>
      <c r="C449" s="88"/>
      <c r="D449" s="89"/>
      <c r="E449" s="89"/>
      <c r="AG449" s="87"/>
      <c r="AH449" s="87"/>
      <c r="AI449" s="87"/>
      <c r="AK449" s="87"/>
    </row>
    <row r="450">
      <c r="B450" s="88"/>
      <c r="C450" s="88"/>
      <c r="D450" s="89"/>
      <c r="E450" s="89"/>
      <c r="AG450" s="87"/>
      <c r="AH450" s="87"/>
      <c r="AI450" s="87"/>
      <c r="AK450" s="87"/>
    </row>
    <row r="451">
      <c r="B451" s="88"/>
      <c r="C451" s="88"/>
      <c r="D451" s="89"/>
      <c r="E451" s="89"/>
      <c r="AG451" s="87"/>
      <c r="AH451" s="87"/>
      <c r="AI451" s="87"/>
      <c r="AK451" s="87"/>
    </row>
    <row r="452">
      <c r="B452" s="88"/>
      <c r="C452" s="88"/>
      <c r="D452" s="89"/>
      <c r="E452" s="89"/>
      <c r="AG452" s="87"/>
      <c r="AH452" s="87"/>
      <c r="AI452" s="87"/>
      <c r="AK452" s="87"/>
    </row>
    <row r="453">
      <c r="B453" s="88"/>
      <c r="C453" s="88"/>
      <c r="D453" s="89"/>
      <c r="E453" s="89"/>
      <c r="AG453" s="87"/>
      <c r="AH453" s="87"/>
      <c r="AI453" s="87"/>
      <c r="AK453" s="87"/>
    </row>
    <row r="454">
      <c r="B454" s="88"/>
      <c r="C454" s="88"/>
      <c r="D454" s="89"/>
      <c r="E454" s="89"/>
      <c r="AG454" s="87"/>
      <c r="AH454" s="87"/>
      <c r="AI454" s="87"/>
      <c r="AK454" s="87"/>
    </row>
    <row r="455">
      <c r="B455" s="88"/>
      <c r="C455" s="88"/>
      <c r="D455" s="89"/>
      <c r="E455" s="89"/>
      <c r="AG455" s="87"/>
      <c r="AH455" s="87"/>
      <c r="AI455" s="87"/>
      <c r="AK455" s="87"/>
    </row>
    <row r="456">
      <c r="B456" s="88"/>
      <c r="C456" s="88"/>
      <c r="D456" s="89"/>
      <c r="E456" s="89"/>
      <c r="AG456" s="87"/>
      <c r="AH456" s="87"/>
      <c r="AI456" s="87"/>
      <c r="AK456" s="87"/>
    </row>
    <row r="457">
      <c r="B457" s="88"/>
      <c r="C457" s="88"/>
      <c r="D457" s="89"/>
      <c r="E457" s="89"/>
      <c r="AG457" s="87"/>
      <c r="AH457" s="87"/>
      <c r="AI457" s="87"/>
      <c r="AK457" s="87"/>
    </row>
    <row r="458">
      <c r="B458" s="88"/>
      <c r="C458" s="88"/>
      <c r="D458" s="89"/>
      <c r="E458" s="89"/>
      <c r="AG458" s="87"/>
      <c r="AH458" s="87"/>
      <c r="AI458" s="87"/>
      <c r="AK458" s="87"/>
    </row>
    <row r="459">
      <c r="B459" s="88"/>
      <c r="C459" s="88"/>
      <c r="D459" s="89"/>
      <c r="E459" s="89"/>
      <c r="AG459" s="87"/>
      <c r="AH459" s="87"/>
      <c r="AI459" s="87"/>
      <c r="AK459" s="87"/>
    </row>
    <row r="460">
      <c r="B460" s="88"/>
      <c r="C460" s="88"/>
      <c r="D460" s="89"/>
      <c r="E460" s="89"/>
      <c r="AG460" s="87"/>
      <c r="AH460" s="87"/>
      <c r="AI460" s="87"/>
      <c r="AK460" s="87"/>
    </row>
    <row r="461">
      <c r="B461" s="88"/>
      <c r="C461" s="88"/>
      <c r="D461" s="89"/>
      <c r="E461" s="89"/>
      <c r="AG461" s="87"/>
      <c r="AH461" s="87"/>
      <c r="AI461" s="87"/>
      <c r="AK461" s="87"/>
    </row>
    <row r="462">
      <c r="B462" s="88"/>
      <c r="C462" s="88"/>
      <c r="D462" s="89"/>
      <c r="E462" s="89"/>
      <c r="AG462" s="87"/>
      <c r="AH462" s="87"/>
      <c r="AI462" s="87"/>
      <c r="AK462" s="87"/>
    </row>
    <row r="463">
      <c r="B463" s="88"/>
      <c r="C463" s="88"/>
      <c r="D463" s="89"/>
      <c r="E463" s="89"/>
      <c r="AG463" s="87"/>
      <c r="AH463" s="87"/>
      <c r="AI463" s="87"/>
      <c r="AK463" s="87"/>
    </row>
    <row r="464">
      <c r="B464" s="88"/>
      <c r="C464" s="88"/>
      <c r="D464" s="89"/>
      <c r="E464" s="89"/>
      <c r="AG464" s="87"/>
      <c r="AH464" s="87"/>
      <c r="AI464" s="87"/>
      <c r="AK464" s="87"/>
    </row>
    <row r="465">
      <c r="B465" s="88"/>
      <c r="C465" s="88"/>
      <c r="D465" s="89"/>
      <c r="E465" s="89"/>
      <c r="AG465" s="87"/>
      <c r="AH465" s="87"/>
      <c r="AI465" s="87"/>
      <c r="AK465" s="87"/>
    </row>
    <row r="466">
      <c r="B466" s="88"/>
      <c r="C466" s="88"/>
      <c r="D466" s="89"/>
      <c r="E466" s="89"/>
      <c r="AG466" s="87"/>
      <c r="AH466" s="87"/>
      <c r="AI466" s="87"/>
      <c r="AK466" s="87"/>
    </row>
    <row r="467">
      <c r="B467" s="88"/>
      <c r="C467" s="88"/>
      <c r="D467" s="89"/>
      <c r="E467" s="89"/>
      <c r="AG467" s="87"/>
      <c r="AH467" s="87"/>
      <c r="AI467" s="87"/>
      <c r="AK467" s="87"/>
    </row>
    <row r="468">
      <c r="B468" s="88"/>
      <c r="C468" s="88"/>
      <c r="D468" s="89"/>
      <c r="E468" s="89"/>
      <c r="AG468" s="87"/>
      <c r="AH468" s="87"/>
      <c r="AI468" s="87"/>
      <c r="AK468" s="87"/>
    </row>
    <row r="469">
      <c r="B469" s="88"/>
      <c r="C469" s="88"/>
      <c r="D469" s="89"/>
      <c r="E469" s="89"/>
      <c r="AG469" s="87"/>
      <c r="AH469" s="87"/>
      <c r="AI469" s="87"/>
      <c r="AK469" s="87"/>
    </row>
    <row r="470">
      <c r="B470" s="88"/>
      <c r="C470" s="88"/>
      <c r="D470" s="89"/>
      <c r="E470" s="89"/>
      <c r="AG470" s="87"/>
      <c r="AH470" s="87"/>
      <c r="AI470" s="87"/>
      <c r="AK470" s="87"/>
    </row>
    <row r="471">
      <c r="B471" s="88"/>
      <c r="C471" s="88"/>
      <c r="D471" s="89"/>
      <c r="E471" s="89"/>
      <c r="AG471" s="87"/>
      <c r="AH471" s="87"/>
      <c r="AI471" s="87"/>
      <c r="AK471" s="87"/>
    </row>
    <row r="472">
      <c r="B472" s="88"/>
      <c r="C472" s="88"/>
      <c r="D472" s="89"/>
      <c r="E472" s="89"/>
      <c r="AG472" s="87"/>
      <c r="AH472" s="87"/>
      <c r="AI472" s="87"/>
      <c r="AK472" s="87"/>
    </row>
    <row r="473">
      <c r="B473" s="88"/>
      <c r="C473" s="88"/>
      <c r="D473" s="89"/>
      <c r="E473" s="89"/>
      <c r="AG473" s="87"/>
      <c r="AH473" s="87"/>
      <c r="AI473" s="87"/>
      <c r="AK473" s="87"/>
    </row>
    <row r="474">
      <c r="B474" s="88"/>
      <c r="C474" s="88"/>
      <c r="D474" s="89"/>
      <c r="E474" s="89"/>
      <c r="AG474" s="87"/>
      <c r="AH474" s="87"/>
      <c r="AI474" s="87"/>
      <c r="AK474" s="87"/>
    </row>
    <row r="475">
      <c r="B475" s="88"/>
      <c r="C475" s="88"/>
      <c r="D475" s="89"/>
      <c r="E475" s="89"/>
      <c r="AG475" s="87"/>
      <c r="AH475" s="87"/>
      <c r="AI475" s="87"/>
      <c r="AK475" s="87"/>
    </row>
    <row r="476">
      <c r="B476" s="88"/>
      <c r="C476" s="88"/>
      <c r="D476" s="89"/>
      <c r="E476" s="89"/>
      <c r="AG476" s="87"/>
      <c r="AH476" s="87"/>
      <c r="AI476" s="87"/>
      <c r="AK476" s="87"/>
    </row>
    <row r="477">
      <c r="B477" s="88"/>
      <c r="C477" s="88"/>
      <c r="D477" s="89"/>
      <c r="E477" s="89"/>
      <c r="AG477" s="87"/>
      <c r="AH477" s="87"/>
      <c r="AI477" s="87"/>
      <c r="AK477" s="87"/>
    </row>
    <row r="478">
      <c r="B478" s="88"/>
      <c r="C478" s="88"/>
      <c r="D478" s="89"/>
      <c r="E478" s="89"/>
      <c r="AG478" s="87"/>
      <c r="AH478" s="87"/>
      <c r="AI478" s="87"/>
      <c r="AK478" s="87"/>
    </row>
    <row r="479">
      <c r="B479" s="88"/>
      <c r="C479" s="88"/>
      <c r="D479" s="89"/>
      <c r="E479" s="89"/>
      <c r="AG479" s="87"/>
      <c r="AH479" s="87"/>
      <c r="AI479" s="87"/>
      <c r="AK479" s="87"/>
    </row>
    <row r="480">
      <c r="B480" s="88"/>
      <c r="C480" s="88"/>
      <c r="D480" s="89"/>
      <c r="E480" s="89"/>
      <c r="AG480" s="87"/>
      <c r="AH480" s="87"/>
      <c r="AI480" s="87"/>
      <c r="AK480" s="87"/>
    </row>
    <row r="481">
      <c r="B481" s="88"/>
      <c r="C481" s="88"/>
      <c r="D481" s="89"/>
      <c r="E481" s="89"/>
      <c r="AG481" s="87"/>
      <c r="AH481" s="87"/>
      <c r="AI481" s="87"/>
      <c r="AK481" s="87"/>
    </row>
    <row r="482">
      <c r="B482" s="88"/>
      <c r="C482" s="88"/>
      <c r="D482" s="89"/>
      <c r="E482" s="89"/>
      <c r="AG482" s="87"/>
      <c r="AH482" s="87"/>
      <c r="AI482" s="87"/>
      <c r="AK482" s="87"/>
    </row>
    <row r="483">
      <c r="B483" s="88"/>
      <c r="C483" s="88"/>
      <c r="D483" s="89"/>
      <c r="E483" s="89"/>
      <c r="AG483" s="87"/>
      <c r="AH483" s="87"/>
      <c r="AI483" s="87"/>
      <c r="AK483" s="87"/>
    </row>
    <row r="484">
      <c r="B484" s="88"/>
      <c r="C484" s="88"/>
      <c r="D484" s="89"/>
      <c r="E484" s="89"/>
      <c r="AG484" s="87"/>
      <c r="AH484" s="87"/>
      <c r="AI484" s="87"/>
      <c r="AK484" s="87"/>
    </row>
    <row r="485">
      <c r="B485" s="88"/>
      <c r="C485" s="88"/>
      <c r="D485" s="89"/>
      <c r="E485" s="89"/>
      <c r="AG485" s="87"/>
      <c r="AH485" s="87"/>
      <c r="AI485" s="87"/>
      <c r="AK485" s="87"/>
    </row>
    <row r="486">
      <c r="B486" s="88"/>
      <c r="C486" s="88"/>
      <c r="D486" s="89"/>
      <c r="E486" s="89"/>
      <c r="AG486" s="87"/>
      <c r="AH486" s="87"/>
      <c r="AI486" s="87"/>
      <c r="AK486" s="87"/>
    </row>
    <row r="487">
      <c r="B487" s="88"/>
      <c r="C487" s="88"/>
      <c r="D487" s="89"/>
      <c r="E487" s="89"/>
      <c r="AG487" s="87"/>
      <c r="AH487" s="87"/>
      <c r="AI487" s="87"/>
      <c r="AK487" s="87"/>
    </row>
    <row r="488">
      <c r="B488" s="88"/>
      <c r="C488" s="88"/>
      <c r="D488" s="89"/>
      <c r="E488" s="89"/>
      <c r="AG488" s="87"/>
      <c r="AH488" s="87"/>
      <c r="AI488" s="87"/>
      <c r="AK488" s="87"/>
    </row>
    <row r="489">
      <c r="B489" s="88"/>
      <c r="C489" s="88"/>
      <c r="D489" s="89"/>
      <c r="E489" s="89"/>
      <c r="AG489" s="87"/>
      <c r="AH489" s="87"/>
      <c r="AI489" s="87"/>
      <c r="AK489" s="87"/>
    </row>
    <row r="490">
      <c r="B490" s="88"/>
      <c r="C490" s="88"/>
      <c r="D490" s="89"/>
      <c r="E490" s="89"/>
      <c r="AG490" s="87"/>
      <c r="AH490" s="87"/>
      <c r="AI490" s="87"/>
      <c r="AK490" s="87"/>
    </row>
    <row r="491">
      <c r="B491" s="88"/>
      <c r="C491" s="88"/>
      <c r="D491" s="89"/>
      <c r="E491" s="89"/>
      <c r="AG491" s="87"/>
      <c r="AH491" s="87"/>
      <c r="AI491" s="87"/>
      <c r="AK491" s="87"/>
    </row>
    <row r="492">
      <c r="B492" s="88"/>
      <c r="C492" s="88"/>
      <c r="D492" s="89"/>
      <c r="E492" s="89"/>
      <c r="AG492" s="87"/>
      <c r="AH492" s="87"/>
      <c r="AI492" s="87"/>
      <c r="AK492" s="87"/>
    </row>
    <row r="493">
      <c r="B493" s="88"/>
      <c r="C493" s="88"/>
      <c r="D493" s="89"/>
      <c r="E493" s="89"/>
      <c r="AG493" s="87"/>
      <c r="AH493" s="87"/>
      <c r="AI493" s="87"/>
      <c r="AK493" s="87"/>
    </row>
    <row r="494">
      <c r="B494" s="88"/>
      <c r="C494" s="88"/>
      <c r="D494" s="89"/>
      <c r="E494" s="89"/>
      <c r="AG494" s="87"/>
      <c r="AH494" s="87"/>
      <c r="AI494" s="87"/>
      <c r="AK494" s="87"/>
    </row>
    <row r="495">
      <c r="B495" s="88"/>
      <c r="C495" s="88"/>
      <c r="D495" s="89"/>
      <c r="E495" s="89"/>
      <c r="AG495" s="87"/>
      <c r="AH495" s="87"/>
      <c r="AI495" s="87"/>
      <c r="AK495" s="87"/>
    </row>
    <row r="496">
      <c r="B496" s="88"/>
      <c r="C496" s="88"/>
      <c r="D496" s="89"/>
      <c r="E496" s="89"/>
      <c r="AG496" s="87"/>
      <c r="AH496" s="87"/>
      <c r="AI496" s="87"/>
      <c r="AK496" s="87"/>
    </row>
    <row r="497">
      <c r="B497" s="88"/>
      <c r="C497" s="88"/>
      <c r="D497" s="89"/>
      <c r="E497" s="89"/>
      <c r="AG497" s="87"/>
      <c r="AH497" s="87"/>
      <c r="AI497" s="87"/>
      <c r="AK497" s="87"/>
    </row>
    <row r="498">
      <c r="B498" s="88"/>
      <c r="C498" s="88"/>
      <c r="D498" s="89"/>
      <c r="E498" s="89"/>
      <c r="AG498" s="87"/>
      <c r="AH498" s="87"/>
      <c r="AI498" s="87"/>
      <c r="AK498" s="87"/>
    </row>
    <row r="499">
      <c r="B499" s="88"/>
      <c r="C499" s="88"/>
      <c r="D499" s="89"/>
      <c r="E499" s="89"/>
      <c r="AG499" s="87"/>
      <c r="AH499" s="87"/>
      <c r="AI499" s="87"/>
      <c r="AK499" s="87"/>
    </row>
    <row r="500">
      <c r="B500" s="88"/>
      <c r="C500" s="88"/>
      <c r="D500" s="89"/>
      <c r="E500" s="89"/>
      <c r="AG500" s="87"/>
      <c r="AH500" s="87"/>
      <c r="AI500" s="87"/>
      <c r="AK500" s="87"/>
    </row>
    <row r="501">
      <c r="B501" s="88"/>
      <c r="C501" s="88"/>
      <c r="D501" s="89"/>
      <c r="E501" s="89"/>
      <c r="AG501" s="87"/>
      <c r="AH501" s="87"/>
      <c r="AI501" s="87"/>
      <c r="AK501" s="87"/>
    </row>
    <row r="502">
      <c r="B502" s="88"/>
      <c r="C502" s="88"/>
      <c r="D502" s="89"/>
      <c r="E502" s="89"/>
      <c r="AG502" s="87"/>
      <c r="AH502" s="87"/>
      <c r="AI502" s="87"/>
      <c r="AK502" s="87"/>
    </row>
    <row r="503">
      <c r="B503" s="88"/>
      <c r="C503" s="88"/>
      <c r="D503" s="89"/>
      <c r="E503" s="89"/>
      <c r="AG503" s="87"/>
      <c r="AH503" s="87"/>
      <c r="AI503" s="87"/>
      <c r="AK503" s="87"/>
    </row>
    <row r="504">
      <c r="B504" s="88"/>
      <c r="C504" s="88"/>
      <c r="D504" s="89"/>
      <c r="E504" s="89"/>
      <c r="AG504" s="87"/>
      <c r="AH504" s="87"/>
      <c r="AI504" s="87"/>
      <c r="AK504" s="87"/>
    </row>
    <row r="505">
      <c r="B505" s="88"/>
      <c r="C505" s="88"/>
      <c r="D505" s="89"/>
      <c r="E505" s="89"/>
      <c r="AG505" s="87"/>
      <c r="AH505" s="87"/>
      <c r="AI505" s="87"/>
      <c r="AK505" s="87"/>
    </row>
    <row r="506">
      <c r="B506" s="88"/>
      <c r="C506" s="88"/>
      <c r="D506" s="89"/>
      <c r="E506" s="89"/>
      <c r="AG506" s="87"/>
      <c r="AH506" s="87"/>
      <c r="AI506" s="87"/>
      <c r="AK506" s="87"/>
    </row>
    <row r="507">
      <c r="B507" s="88"/>
      <c r="C507" s="88"/>
      <c r="D507" s="89"/>
      <c r="E507" s="89"/>
      <c r="AG507" s="87"/>
      <c r="AH507" s="87"/>
      <c r="AI507" s="87"/>
      <c r="AK507" s="87"/>
    </row>
    <row r="508">
      <c r="B508" s="88"/>
      <c r="C508" s="88"/>
      <c r="D508" s="89"/>
      <c r="E508" s="89"/>
      <c r="AG508" s="87"/>
      <c r="AH508" s="87"/>
      <c r="AI508" s="87"/>
      <c r="AK508" s="87"/>
    </row>
    <row r="509">
      <c r="B509" s="88"/>
      <c r="C509" s="88"/>
      <c r="D509" s="89"/>
      <c r="E509" s="89"/>
      <c r="AG509" s="87"/>
      <c r="AH509" s="87"/>
      <c r="AI509" s="87"/>
      <c r="AK509" s="87"/>
    </row>
    <row r="510">
      <c r="B510" s="88"/>
      <c r="C510" s="88"/>
      <c r="D510" s="89"/>
      <c r="E510" s="89"/>
      <c r="AG510" s="87"/>
      <c r="AH510" s="87"/>
      <c r="AI510" s="87"/>
      <c r="AK510" s="87"/>
    </row>
    <row r="511">
      <c r="B511" s="88"/>
      <c r="C511" s="88"/>
      <c r="D511" s="89"/>
      <c r="E511" s="89"/>
      <c r="AG511" s="87"/>
      <c r="AH511" s="87"/>
      <c r="AI511" s="87"/>
      <c r="AK511" s="87"/>
    </row>
    <row r="512">
      <c r="B512" s="88"/>
      <c r="C512" s="88"/>
      <c r="D512" s="89"/>
      <c r="E512" s="89"/>
      <c r="AG512" s="87"/>
      <c r="AH512" s="87"/>
      <c r="AI512" s="87"/>
      <c r="AK512" s="87"/>
    </row>
    <row r="513">
      <c r="B513" s="88"/>
      <c r="C513" s="88"/>
      <c r="D513" s="89"/>
      <c r="E513" s="89"/>
      <c r="AG513" s="87"/>
      <c r="AH513" s="87"/>
      <c r="AI513" s="87"/>
      <c r="AK513" s="87"/>
    </row>
    <row r="514">
      <c r="B514" s="88"/>
      <c r="C514" s="88"/>
      <c r="D514" s="89"/>
      <c r="E514" s="89"/>
      <c r="AG514" s="87"/>
      <c r="AH514" s="87"/>
      <c r="AI514" s="87"/>
      <c r="AK514" s="87"/>
    </row>
    <row r="515">
      <c r="B515" s="88"/>
      <c r="C515" s="88"/>
      <c r="D515" s="89"/>
      <c r="E515" s="89"/>
      <c r="AG515" s="87"/>
      <c r="AH515" s="87"/>
      <c r="AI515" s="87"/>
      <c r="AK515" s="87"/>
    </row>
    <row r="516">
      <c r="B516" s="88"/>
      <c r="C516" s="88"/>
      <c r="D516" s="89"/>
      <c r="E516" s="89"/>
      <c r="AG516" s="87"/>
      <c r="AH516" s="87"/>
      <c r="AI516" s="87"/>
      <c r="AK516" s="87"/>
    </row>
    <row r="517">
      <c r="B517" s="88"/>
      <c r="C517" s="88"/>
      <c r="D517" s="89"/>
      <c r="E517" s="89"/>
      <c r="AG517" s="87"/>
      <c r="AH517" s="87"/>
      <c r="AI517" s="87"/>
      <c r="AK517" s="87"/>
    </row>
    <row r="518">
      <c r="B518" s="88"/>
      <c r="C518" s="88"/>
      <c r="D518" s="89"/>
      <c r="E518" s="89"/>
      <c r="AG518" s="87"/>
      <c r="AH518" s="87"/>
      <c r="AI518" s="87"/>
      <c r="AK518" s="87"/>
    </row>
    <row r="519">
      <c r="B519" s="88"/>
      <c r="C519" s="88"/>
      <c r="D519" s="89"/>
      <c r="E519" s="89"/>
      <c r="AG519" s="87"/>
      <c r="AH519" s="87"/>
      <c r="AI519" s="87"/>
      <c r="AK519" s="87"/>
    </row>
    <row r="520">
      <c r="B520" s="88"/>
      <c r="C520" s="88"/>
      <c r="D520" s="89"/>
      <c r="E520" s="89"/>
      <c r="AG520" s="87"/>
      <c r="AH520" s="87"/>
      <c r="AI520" s="87"/>
      <c r="AK520" s="87"/>
    </row>
    <row r="521">
      <c r="B521" s="88"/>
      <c r="C521" s="88"/>
      <c r="D521" s="89"/>
      <c r="E521" s="89"/>
      <c r="AG521" s="87"/>
      <c r="AH521" s="87"/>
      <c r="AI521" s="87"/>
      <c r="AK521" s="87"/>
    </row>
    <row r="522">
      <c r="B522" s="88"/>
      <c r="C522" s="88"/>
      <c r="D522" s="89"/>
      <c r="E522" s="89"/>
      <c r="AG522" s="87"/>
      <c r="AH522" s="87"/>
      <c r="AI522" s="87"/>
      <c r="AK522" s="87"/>
    </row>
    <row r="523">
      <c r="B523" s="88"/>
      <c r="C523" s="88"/>
      <c r="D523" s="89"/>
      <c r="E523" s="89"/>
      <c r="AG523" s="87"/>
      <c r="AH523" s="87"/>
      <c r="AI523" s="87"/>
      <c r="AK523" s="87"/>
    </row>
    <row r="524">
      <c r="B524" s="88"/>
      <c r="C524" s="88"/>
      <c r="D524" s="89"/>
      <c r="E524" s="89"/>
      <c r="AG524" s="87"/>
      <c r="AH524" s="87"/>
      <c r="AI524" s="87"/>
      <c r="AK524" s="87"/>
    </row>
    <row r="525">
      <c r="B525" s="88"/>
      <c r="C525" s="88"/>
      <c r="D525" s="89"/>
      <c r="E525" s="89"/>
      <c r="AG525" s="87"/>
      <c r="AH525" s="87"/>
      <c r="AI525" s="87"/>
      <c r="AK525" s="87"/>
    </row>
    <row r="526">
      <c r="B526" s="88"/>
      <c r="C526" s="88"/>
      <c r="D526" s="89"/>
      <c r="E526" s="89"/>
      <c r="AG526" s="87"/>
      <c r="AH526" s="87"/>
      <c r="AI526" s="87"/>
      <c r="AK526" s="87"/>
    </row>
    <row r="527">
      <c r="B527" s="88"/>
      <c r="C527" s="88"/>
      <c r="D527" s="89"/>
      <c r="E527" s="89"/>
      <c r="AG527" s="87"/>
      <c r="AH527" s="87"/>
      <c r="AI527" s="87"/>
      <c r="AK527" s="87"/>
    </row>
    <row r="528">
      <c r="B528" s="88"/>
      <c r="C528" s="88"/>
      <c r="D528" s="89"/>
      <c r="E528" s="89"/>
      <c r="AG528" s="87"/>
      <c r="AH528" s="87"/>
      <c r="AI528" s="87"/>
      <c r="AK528" s="87"/>
    </row>
    <row r="529">
      <c r="B529" s="88"/>
      <c r="C529" s="88"/>
      <c r="D529" s="89"/>
      <c r="E529" s="89"/>
      <c r="AG529" s="87"/>
      <c r="AH529" s="87"/>
      <c r="AI529" s="87"/>
      <c r="AK529" s="87"/>
    </row>
    <row r="530">
      <c r="B530" s="88"/>
      <c r="C530" s="88"/>
      <c r="D530" s="89"/>
      <c r="E530" s="89"/>
      <c r="AG530" s="87"/>
      <c r="AH530" s="87"/>
      <c r="AI530" s="87"/>
      <c r="AK530" s="87"/>
    </row>
    <row r="531">
      <c r="B531" s="88"/>
      <c r="C531" s="88"/>
      <c r="D531" s="89"/>
      <c r="E531" s="89"/>
      <c r="AG531" s="87"/>
      <c r="AH531" s="87"/>
      <c r="AI531" s="87"/>
      <c r="AK531" s="87"/>
    </row>
    <row r="532">
      <c r="B532" s="88"/>
      <c r="C532" s="88"/>
      <c r="D532" s="89"/>
      <c r="E532" s="89"/>
      <c r="AG532" s="87"/>
      <c r="AH532" s="87"/>
      <c r="AI532" s="87"/>
      <c r="AK532" s="87"/>
    </row>
    <row r="533">
      <c r="B533" s="88"/>
      <c r="C533" s="88"/>
      <c r="D533" s="89"/>
      <c r="E533" s="89"/>
      <c r="AG533" s="87"/>
      <c r="AH533" s="87"/>
      <c r="AI533" s="87"/>
      <c r="AK533" s="87"/>
    </row>
    <row r="534">
      <c r="B534" s="88"/>
      <c r="C534" s="88"/>
      <c r="D534" s="89"/>
      <c r="E534" s="89"/>
      <c r="AG534" s="87"/>
      <c r="AH534" s="87"/>
      <c r="AI534" s="87"/>
      <c r="AK534" s="87"/>
    </row>
    <row r="535">
      <c r="B535" s="88"/>
      <c r="C535" s="88"/>
      <c r="D535" s="89"/>
      <c r="E535" s="89"/>
      <c r="AG535" s="87"/>
      <c r="AH535" s="87"/>
      <c r="AI535" s="87"/>
      <c r="AK535" s="87"/>
    </row>
    <row r="536">
      <c r="B536" s="88"/>
      <c r="C536" s="88"/>
      <c r="D536" s="89"/>
      <c r="E536" s="89"/>
      <c r="AG536" s="87"/>
      <c r="AH536" s="87"/>
      <c r="AI536" s="87"/>
      <c r="AK536" s="87"/>
    </row>
    <row r="537">
      <c r="B537" s="88"/>
      <c r="C537" s="88"/>
      <c r="D537" s="89"/>
      <c r="E537" s="89"/>
      <c r="AG537" s="87"/>
      <c r="AH537" s="87"/>
      <c r="AI537" s="87"/>
      <c r="AK537" s="87"/>
    </row>
    <row r="538">
      <c r="B538" s="88"/>
      <c r="C538" s="88"/>
      <c r="D538" s="89"/>
      <c r="E538" s="89"/>
      <c r="AG538" s="87"/>
      <c r="AH538" s="87"/>
      <c r="AI538" s="87"/>
      <c r="AK538" s="87"/>
    </row>
    <row r="539">
      <c r="B539" s="88"/>
      <c r="C539" s="88"/>
      <c r="D539" s="89"/>
      <c r="E539" s="89"/>
      <c r="AG539" s="87"/>
      <c r="AH539" s="87"/>
      <c r="AI539" s="87"/>
      <c r="AK539" s="87"/>
    </row>
    <row r="540">
      <c r="B540" s="88"/>
      <c r="C540" s="88"/>
      <c r="D540" s="89"/>
      <c r="E540" s="89"/>
      <c r="AG540" s="87"/>
      <c r="AH540" s="87"/>
      <c r="AI540" s="87"/>
      <c r="AK540" s="87"/>
    </row>
    <row r="541">
      <c r="B541" s="88"/>
      <c r="C541" s="88"/>
      <c r="D541" s="89"/>
      <c r="E541" s="89"/>
      <c r="AG541" s="87"/>
      <c r="AH541" s="87"/>
      <c r="AI541" s="87"/>
      <c r="AK541" s="87"/>
    </row>
    <row r="542">
      <c r="B542" s="88"/>
      <c r="C542" s="88"/>
      <c r="D542" s="89"/>
      <c r="E542" s="89"/>
      <c r="AG542" s="87"/>
      <c r="AH542" s="87"/>
      <c r="AI542" s="87"/>
      <c r="AK542" s="87"/>
    </row>
    <row r="543">
      <c r="B543" s="88"/>
      <c r="C543" s="88"/>
      <c r="D543" s="89"/>
      <c r="E543" s="89"/>
      <c r="AG543" s="87"/>
      <c r="AH543" s="87"/>
      <c r="AI543" s="87"/>
      <c r="AK543" s="87"/>
    </row>
    <row r="544">
      <c r="B544" s="88"/>
      <c r="C544" s="88"/>
      <c r="D544" s="89"/>
      <c r="E544" s="89"/>
      <c r="AG544" s="87"/>
      <c r="AH544" s="87"/>
      <c r="AI544" s="87"/>
      <c r="AK544" s="87"/>
    </row>
    <row r="545">
      <c r="B545" s="88"/>
      <c r="C545" s="88"/>
      <c r="D545" s="89"/>
      <c r="E545" s="89"/>
      <c r="AG545" s="87"/>
      <c r="AH545" s="87"/>
      <c r="AI545" s="87"/>
      <c r="AK545" s="87"/>
    </row>
    <row r="546">
      <c r="B546" s="88"/>
      <c r="C546" s="88"/>
      <c r="D546" s="89"/>
      <c r="E546" s="89"/>
      <c r="AG546" s="87"/>
      <c r="AH546" s="87"/>
      <c r="AI546" s="87"/>
      <c r="AK546" s="87"/>
    </row>
    <row r="547">
      <c r="B547" s="88"/>
      <c r="C547" s="88"/>
      <c r="D547" s="89"/>
      <c r="E547" s="89"/>
      <c r="AG547" s="87"/>
      <c r="AH547" s="87"/>
      <c r="AI547" s="87"/>
      <c r="AK547" s="87"/>
    </row>
    <row r="548">
      <c r="B548" s="88"/>
      <c r="C548" s="88"/>
      <c r="D548" s="89"/>
      <c r="E548" s="89"/>
      <c r="AG548" s="87"/>
      <c r="AH548" s="87"/>
      <c r="AI548" s="87"/>
      <c r="AK548" s="87"/>
    </row>
    <row r="549">
      <c r="B549" s="88"/>
      <c r="C549" s="88"/>
      <c r="D549" s="89"/>
      <c r="E549" s="89"/>
      <c r="AG549" s="87"/>
      <c r="AH549" s="87"/>
      <c r="AI549" s="87"/>
      <c r="AK549" s="87"/>
    </row>
    <row r="550">
      <c r="B550" s="88"/>
      <c r="C550" s="88"/>
      <c r="D550" s="89"/>
      <c r="E550" s="89"/>
      <c r="AG550" s="87"/>
      <c r="AH550" s="87"/>
      <c r="AI550" s="87"/>
      <c r="AK550" s="87"/>
    </row>
    <row r="551">
      <c r="B551" s="88"/>
      <c r="C551" s="88"/>
      <c r="D551" s="89"/>
      <c r="E551" s="89"/>
      <c r="AG551" s="87"/>
      <c r="AH551" s="87"/>
      <c r="AI551" s="87"/>
      <c r="AK551" s="87"/>
    </row>
    <row r="552">
      <c r="B552" s="88"/>
      <c r="C552" s="88"/>
      <c r="D552" s="89"/>
      <c r="E552" s="89"/>
      <c r="AG552" s="87"/>
      <c r="AH552" s="87"/>
      <c r="AI552" s="87"/>
      <c r="AK552" s="87"/>
    </row>
    <row r="553">
      <c r="B553" s="88"/>
      <c r="C553" s="88"/>
      <c r="D553" s="89"/>
      <c r="E553" s="89"/>
      <c r="AG553" s="87"/>
      <c r="AH553" s="87"/>
      <c r="AI553" s="87"/>
      <c r="AK553" s="87"/>
    </row>
    <row r="554">
      <c r="B554" s="88"/>
      <c r="C554" s="88"/>
      <c r="D554" s="89"/>
      <c r="E554" s="89"/>
      <c r="AG554" s="87"/>
      <c r="AH554" s="87"/>
      <c r="AI554" s="87"/>
      <c r="AK554" s="87"/>
    </row>
    <row r="555">
      <c r="B555" s="88"/>
      <c r="C555" s="88"/>
      <c r="D555" s="89"/>
      <c r="E555" s="89"/>
      <c r="AG555" s="87"/>
      <c r="AH555" s="87"/>
      <c r="AI555" s="87"/>
      <c r="AK555" s="87"/>
    </row>
    <row r="556">
      <c r="B556" s="88"/>
      <c r="C556" s="88"/>
      <c r="D556" s="89"/>
      <c r="E556" s="89"/>
      <c r="AG556" s="87"/>
      <c r="AH556" s="87"/>
      <c r="AI556" s="87"/>
      <c r="AK556" s="87"/>
    </row>
    <row r="557">
      <c r="B557" s="88"/>
      <c r="C557" s="88"/>
      <c r="D557" s="89"/>
      <c r="E557" s="89"/>
      <c r="AG557" s="87"/>
      <c r="AH557" s="87"/>
      <c r="AI557" s="87"/>
      <c r="AK557" s="87"/>
    </row>
    <row r="558">
      <c r="B558" s="88"/>
      <c r="C558" s="88"/>
      <c r="D558" s="89"/>
      <c r="E558" s="89"/>
      <c r="AG558" s="87"/>
      <c r="AH558" s="87"/>
      <c r="AI558" s="87"/>
      <c r="AK558" s="87"/>
    </row>
    <row r="559">
      <c r="B559" s="88"/>
      <c r="C559" s="88"/>
      <c r="D559" s="89"/>
      <c r="E559" s="89"/>
      <c r="AG559" s="87"/>
      <c r="AH559" s="87"/>
      <c r="AI559" s="87"/>
      <c r="AK559" s="87"/>
    </row>
    <row r="560">
      <c r="B560" s="88"/>
      <c r="C560" s="88"/>
      <c r="D560" s="89"/>
      <c r="E560" s="89"/>
      <c r="AG560" s="87"/>
      <c r="AH560" s="87"/>
      <c r="AI560" s="87"/>
      <c r="AK560" s="87"/>
    </row>
    <row r="561">
      <c r="B561" s="88"/>
      <c r="C561" s="88"/>
      <c r="D561" s="89"/>
      <c r="E561" s="89"/>
      <c r="AG561" s="87"/>
      <c r="AH561" s="87"/>
      <c r="AI561" s="87"/>
      <c r="AK561" s="87"/>
    </row>
    <row r="562">
      <c r="B562" s="88"/>
      <c r="C562" s="88"/>
      <c r="D562" s="89"/>
      <c r="E562" s="89"/>
      <c r="AG562" s="87"/>
      <c r="AH562" s="87"/>
      <c r="AI562" s="87"/>
      <c r="AK562" s="87"/>
    </row>
    <row r="563">
      <c r="B563" s="88"/>
      <c r="C563" s="88"/>
      <c r="D563" s="89"/>
      <c r="E563" s="89"/>
      <c r="AG563" s="87"/>
      <c r="AH563" s="87"/>
      <c r="AI563" s="87"/>
      <c r="AK563" s="87"/>
    </row>
    <row r="564">
      <c r="B564" s="88"/>
      <c r="C564" s="88"/>
      <c r="D564" s="89"/>
      <c r="E564" s="89"/>
      <c r="AG564" s="87"/>
      <c r="AH564" s="87"/>
      <c r="AI564" s="87"/>
      <c r="AK564" s="87"/>
    </row>
    <row r="565">
      <c r="B565" s="88"/>
      <c r="C565" s="88"/>
      <c r="D565" s="89"/>
      <c r="E565" s="89"/>
      <c r="AG565" s="87"/>
      <c r="AH565" s="87"/>
      <c r="AI565" s="87"/>
      <c r="AK565" s="87"/>
    </row>
    <row r="566">
      <c r="B566" s="88"/>
      <c r="C566" s="88"/>
      <c r="D566" s="89"/>
      <c r="E566" s="89"/>
      <c r="AG566" s="87"/>
      <c r="AH566" s="87"/>
      <c r="AI566" s="87"/>
      <c r="AK566" s="87"/>
    </row>
    <row r="567">
      <c r="B567" s="88"/>
      <c r="C567" s="88"/>
      <c r="D567" s="89"/>
      <c r="E567" s="89"/>
      <c r="AG567" s="87"/>
      <c r="AH567" s="87"/>
      <c r="AI567" s="87"/>
      <c r="AK567" s="87"/>
    </row>
    <row r="568">
      <c r="B568" s="88"/>
      <c r="C568" s="88"/>
      <c r="D568" s="89"/>
      <c r="E568" s="89"/>
      <c r="AG568" s="87"/>
      <c r="AH568" s="87"/>
      <c r="AI568" s="87"/>
      <c r="AK568" s="87"/>
    </row>
    <row r="569">
      <c r="B569" s="88"/>
      <c r="C569" s="88"/>
      <c r="D569" s="89"/>
      <c r="E569" s="89"/>
      <c r="AG569" s="87"/>
      <c r="AH569" s="87"/>
      <c r="AI569" s="87"/>
      <c r="AK569" s="87"/>
    </row>
    <row r="570">
      <c r="B570" s="88"/>
      <c r="C570" s="88"/>
      <c r="D570" s="89"/>
      <c r="E570" s="89"/>
      <c r="AG570" s="87"/>
      <c r="AH570" s="87"/>
      <c r="AI570" s="87"/>
      <c r="AK570" s="87"/>
    </row>
    <row r="571">
      <c r="B571" s="88"/>
      <c r="C571" s="88"/>
      <c r="D571" s="89"/>
      <c r="E571" s="89"/>
      <c r="AG571" s="87"/>
      <c r="AH571" s="87"/>
      <c r="AI571" s="87"/>
      <c r="AK571" s="87"/>
    </row>
    <row r="572">
      <c r="B572" s="88"/>
      <c r="C572" s="88"/>
      <c r="D572" s="89"/>
      <c r="E572" s="89"/>
      <c r="AG572" s="87"/>
      <c r="AH572" s="87"/>
      <c r="AI572" s="87"/>
      <c r="AK572" s="87"/>
    </row>
    <row r="573">
      <c r="B573" s="88"/>
      <c r="C573" s="88"/>
      <c r="D573" s="89"/>
      <c r="E573" s="89"/>
      <c r="AG573" s="87"/>
      <c r="AH573" s="87"/>
      <c r="AI573" s="87"/>
      <c r="AK573" s="87"/>
    </row>
    <row r="574">
      <c r="B574" s="88"/>
      <c r="C574" s="88"/>
      <c r="D574" s="89"/>
      <c r="E574" s="89"/>
      <c r="AG574" s="87"/>
      <c r="AH574" s="87"/>
      <c r="AI574" s="87"/>
      <c r="AK574" s="87"/>
    </row>
    <row r="575">
      <c r="B575" s="88"/>
      <c r="C575" s="88"/>
      <c r="D575" s="89"/>
      <c r="E575" s="89"/>
      <c r="AG575" s="87"/>
      <c r="AH575" s="87"/>
      <c r="AI575" s="87"/>
      <c r="AK575" s="87"/>
    </row>
    <row r="576">
      <c r="B576" s="88"/>
      <c r="C576" s="88"/>
      <c r="D576" s="89"/>
      <c r="E576" s="89"/>
      <c r="AG576" s="87"/>
      <c r="AH576" s="87"/>
      <c r="AI576" s="87"/>
      <c r="AK576" s="87"/>
    </row>
    <row r="577">
      <c r="B577" s="88"/>
      <c r="C577" s="88"/>
      <c r="D577" s="89"/>
      <c r="E577" s="89"/>
      <c r="AG577" s="87"/>
      <c r="AH577" s="87"/>
      <c r="AI577" s="87"/>
      <c r="AK577" s="87"/>
    </row>
    <row r="578">
      <c r="B578" s="88"/>
      <c r="C578" s="88"/>
      <c r="D578" s="89"/>
      <c r="E578" s="89"/>
      <c r="AG578" s="87"/>
      <c r="AH578" s="87"/>
      <c r="AI578" s="87"/>
      <c r="AK578" s="87"/>
    </row>
    <row r="579">
      <c r="B579" s="88"/>
      <c r="C579" s="88"/>
      <c r="D579" s="89"/>
      <c r="E579" s="89"/>
      <c r="AG579" s="87"/>
      <c r="AH579" s="87"/>
      <c r="AI579" s="87"/>
      <c r="AK579" s="87"/>
    </row>
    <row r="580">
      <c r="B580" s="88"/>
      <c r="C580" s="88"/>
      <c r="D580" s="89"/>
      <c r="E580" s="89"/>
      <c r="AG580" s="87"/>
      <c r="AH580" s="87"/>
      <c r="AI580" s="87"/>
      <c r="AK580" s="87"/>
    </row>
    <row r="581">
      <c r="B581" s="88"/>
      <c r="C581" s="88"/>
      <c r="D581" s="89"/>
      <c r="E581" s="89"/>
      <c r="AG581" s="87"/>
      <c r="AH581" s="87"/>
      <c r="AI581" s="87"/>
      <c r="AK581" s="87"/>
    </row>
    <row r="582">
      <c r="B582" s="88"/>
      <c r="C582" s="88"/>
      <c r="D582" s="89"/>
      <c r="E582" s="89"/>
      <c r="AG582" s="87"/>
      <c r="AH582" s="87"/>
      <c r="AI582" s="87"/>
      <c r="AK582" s="87"/>
    </row>
    <row r="583">
      <c r="B583" s="88"/>
      <c r="C583" s="88"/>
      <c r="D583" s="89"/>
      <c r="E583" s="89"/>
      <c r="AG583" s="87"/>
      <c r="AH583" s="87"/>
      <c r="AI583" s="87"/>
      <c r="AK583" s="87"/>
    </row>
    <row r="584">
      <c r="B584" s="88"/>
      <c r="C584" s="88"/>
      <c r="D584" s="89"/>
      <c r="E584" s="89"/>
      <c r="AG584" s="87"/>
      <c r="AH584" s="87"/>
      <c r="AI584" s="87"/>
      <c r="AK584" s="87"/>
    </row>
    <row r="585">
      <c r="B585" s="88"/>
      <c r="C585" s="88"/>
      <c r="D585" s="89"/>
      <c r="E585" s="89"/>
      <c r="AG585" s="87"/>
      <c r="AH585" s="87"/>
      <c r="AI585" s="87"/>
      <c r="AK585" s="87"/>
    </row>
    <row r="586">
      <c r="B586" s="88"/>
      <c r="C586" s="88"/>
      <c r="D586" s="89"/>
      <c r="E586" s="89"/>
      <c r="AG586" s="87"/>
      <c r="AH586" s="87"/>
      <c r="AI586" s="87"/>
      <c r="AK586" s="87"/>
    </row>
    <row r="587">
      <c r="B587" s="88"/>
      <c r="C587" s="88"/>
      <c r="D587" s="89"/>
      <c r="E587" s="89"/>
      <c r="AG587" s="87"/>
      <c r="AH587" s="87"/>
      <c r="AI587" s="87"/>
      <c r="AK587" s="87"/>
    </row>
    <row r="588">
      <c r="B588" s="88"/>
      <c r="C588" s="88"/>
      <c r="D588" s="89"/>
      <c r="E588" s="89"/>
      <c r="AG588" s="87"/>
      <c r="AH588" s="87"/>
      <c r="AI588" s="87"/>
      <c r="AK588" s="87"/>
    </row>
    <row r="589">
      <c r="B589" s="88"/>
      <c r="C589" s="88"/>
      <c r="D589" s="89"/>
      <c r="E589" s="89"/>
      <c r="AG589" s="87"/>
      <c r="AH589" s="87"/>
      <c r="AI589" s="87"/>
      <c r="AK589" s="87"/>
    </row>
    <row r="590">
      <c r="B590" s="88"/>
      <c r="C590" s="88"/>
      <c r="D590" s="89"/>
      <c r="E590" s="89"/>
      <c r="AG590" s="87"/>
      <c r="AH590" s="87"/>
      <c r="AI590" s="87"/>
      <c r="AK590" s="87"/>
    </row>
    <row r="591">
      <c r="B591" s="88"/>
      <c r="C591" s="88"/>
      <c r="D591" s="89"/>
      <c r="E591" s="89"/>
      <c r="AG591" s="87"/>
      <c r="AH591" s="87"/>
      <c r="AI591" s="87"/>
      <c r="AK591" s="87"/>
    </row>
    <row r="592">
      <c r="B592" s="88"/>
      <c r="C592" s="88"/>
      <c r="D592" s="89"/>
      <c r="E592" s="89"/>
      <c r="AG592" s="87"/>
      <c r="AH592" s="87"/>
      <c r="AI592" s="87"/>
      <c r="AK592" s="87"/>
    </row>
    <row r="593">
      <c r="B593" s="88"/>
      <c r="C593" s="88"/>
      <c r="D593" s="89"/>
      <c r="E593" s="89"/>
      <c r="AG593" s="87"/>
      <c r="AH593" s="87"/>
      <c r="AI593" s="87"/>
      <c r="AK593" s="87"/>
    </row>
    <row r="594">
      <c r="B594" s="88"/>
      <c r="C594" s="88"/>
      <c r="D594" s="89"/>
      <c r="E594" s="89"/>
      <c r="AG594" s="87"/>
      <c r="AH594" s="87"/>
      <c r="AI594" s="87"/>
      <c r="AK594" s="87"/>
    </row>
    <row r="595">
      <c r="B595" s="88"/>
      <c r="C595" s="88"/>
      <c r="D595" s="89"/>
      <c r="E595" s="89"/>
      <c r="AG595" s="87"/>
      <c r="AH595" s="87"/>
      <c r="AI595" s="87"/>
      <c r="AK595" s="87"/>
    </row>
    <row r="596">
      <c r="B596" s="88"/>
      <c r="C596" s="88"/>
      <c r="D596" s="89"/>
      <c r="E596" s="89"/>
      <c r="AG596" s="87"/>
      <c r="AH596" s="87"/>
      <c r="AI596" s="87"/>
      <c r="AK596" s="87"/>
    </row>
    <row r="597">
      <c r="B597" s="88"/>
      <c r="C597" s="88"/>
      <c r="D597" s="89"/>
      <c r="E597" s="89"/>
      <c r="AG597" s="87"/>
      <c r="AH597" s="87"/>
      <c r="AI597" s="87"/>
      <c r="AK597" s="87"/>
    </row>
    <row r="598">
      <c r="B598" s="88"/>
      <c r="C598" s="88"/>
      <c r="D598" s="89"/>
      <c r="E598" s="89"/>
      <c r="AG598" s="87"/>
      <c r="AH598" s="87"/>
      <c r="AI598" s="87"/>
      <c r="AK598" s="87"/>
    </row>
    <row r="599">
      <c r="B599" s="88"/>
      <c r="C599" s="88"/>
      <c r="D599" s="89"/>
      <c r="E599" s="89"/>
      <c r="AG599" s="87"/>
      <c r="AH599" s="87"/>
      <c r="AI599" s="87"/>
      <c r="AK599" s="87"/>
    </row>
    <row r="600">
      <c r="B600" s="88"/>
      <c r="C600" s="88"/>
      <c r="D600" s="89"/>
      <c r="E600" s="89"/>
      <c r="AG600" s="87"/>
      <c r="AH600" s="87"/>
      <c r="AI600" s="87"/>
      <c r="AK600" s="87"/>
    </row>
    <row r="601">
      <c r="B601" s="88"/>
      <c r="C601" s="88"/>
      <c r="D601" s="89"/>
      <c r="E601" s="89"/>
      <c r="AG601" s="87"/>
      <c r="AH601" s="87"/>
      <c r="AI601" s="87"/>
      <c r="AK601" s="87"/>
    </row>
    <row r="602">
      <c r="B602" s="88"/>
      <c r="C602" s="88"/>
      <c r="D602" s="89"/>
      <c r="E602" s="89"/>
      <c r="AG602" s="87"/>
      <c r="AH602" s="87"/>
      <c r="AI602" s="87"/>
      <c r="AK602" s="87"/>
    </row>
    <row r="603">
      <c r="B603" s="88"/>
      <c r="C603" s="88"/>
      <c r="D603" s="89"/>
      <c r="E603" s="89"/>
      <c r="AG603" s="87"/>
      <c r="AH603" s="87"/>
      <c r="AI603" s="87"/>
      <c r="AK603" s="87"/>
    </row>
    <row r="604">
      <c r="B604" s="88"/>
      <c r="C604" s="88"/>
      <c r="D604" s="89"/>
      <c r="E604" s="89"/>
      <c r="AG604" s="87"/>
      <c r="AH604" s="87"/>
      <c r="AI604" s="87"/>
      <c r="AK604" s="87"/>
    </row>
    <row r="605">
      <c r="B605" s="88"/>
      <c r="C605" s="88"/>
      <c r="D605" s="89"/>
      <c r="E605" s="89"/>
      <c r="AG605" s="87"/>
      <c r="AH605" s="87"/>
      <c r="AI605" s="87"/>
      <c r="AK605" s="87"/>
    </row>
    <row r="606">
      <c r="B606" s="88"/>
      <c r="C606" s="88"/>
      <c r="D606" s="89"/>
      <c r="E606" s="89"/>
      <c r="AG606" s="87"/>
      <c r="AH606" s="87"/>
      <c r="AI606" s="87"/>
      <c r="AK606" s="87"/>
    </row>
    <row r="607">
      <c r="B607" s="88"/>
      <c r="C607" s="88"/>
      <c r="D607" s="89"/>
      <c r="E607" s="89"/>
      <c r="AG607" s="87"/>
      <c r="AH607" s="87"/>
      <c r="AI607" s="87"/>
      <c r="AK607" s="87"/>
    </row>
    <row r="608">
      <c r="B608" s="88"/>
      <c r="C608" s="88"/>
      <c r="D608" s="89"/>
      <c r="E608" s="89"/>
      <c r="AG608" s="87"/>
      <c r="AH608" s="87"/>
      <c r="AI608" s="87"/>
      <c r="AK608" s="87"/>
    </row>
    <row r="609">
      <c r="B609" s="88"/>
      <c r="C609" s="88"/>
      <c r="D609" s="89"/>
      <c r="E609" s="89"/>
      <c r="AG609" s="87"/>
      <c r="AH609" s="87"/>
      <c r="AI609" s="87"/>
      <c r="AK609" s="87"/>
    </row>
    <row r="610">
      <c r="B610" s="88"/>
      <c r="C610" s="88"/>
      <c r="D610" s="89"/>
      <c r="E610" s="89"/>
      <c r="AG610" s="87"/>
      <c r="AH610" s="87"/>
      <c r="AI610" s="87"/>
      <c r="AK610" s="87"/>
    </row>
    <row r="611">
      <c r="B611" s="88"/>
      <c r="C611" s="88"/>
      <c r="D611" s="89"/>
      <c r="E611" s="89"/>
      <c r="AG611" s="87"/>
      <c r="AH611" s="87"/>
      <c r="AI611" s="87"/>
      <c r="AK611" s="87"/>
    </row>
    <row r="612">
      <c r="B612" s="88"/>
      <c r="C612" s="88"/>
      <c r="D612" s="89"/>
      <c r="E612" s="89"/>
      <c r="AG612" s="87"/>
      <c r="AH612" s="87"/>
      <c r="AI612" s="87"/>
      <c r="AK612" s="87"/>
    </row>
    <row r="613">
      <c r="B613" s="88"/>
      <c r="C613" s="88"/>
      <c r="D613" s="89"/>
      <c r="E613" s="89"/>
      <c r="AG613" s="87"/>
      <c r="AH613" s="87"/>
      <c r="AI613" s="87"/>
      <c r="AK613" s="87"/>
    </row>
    <row r="614">
      <c r="B614" s="88"/>
      <c r="C614" s="88"/>
      <c r="D614" s="89"/>
      <c r="E614" s="89"/>
      <c r="AG614" s="87"/>
      <c r="AH614" s="87"/>
      <c r="AI614" s="87"/>
      <c r="AK614" s="87"/>
    </row>
    <row r="615">
      <c r="B615" s="88"/>
      <c r="C615" s="88"/>
      <c r="D615" s="89"/>
      <c r="E615" s="89"/>
      <c r="AG615" s="87"/>
      <c r="AH615" s="87"/>
      <c r="AI615" s="87"/>
      <c r="AK615" s="87"/>
    </row>
    <row r="616">
      <c r="B616" s="88"/>
      <c r="C616" s="88"/>
      <c r="D616" s="89"/>
      <c r="E616" s="89"/>
      <c r="AG616" s="87"/>
      <c r="AH616" s="87"/>
      <c r="AI616" s="87"/>
      <c r="AK616" s="87"/>
    </row>
    <row r="617">
      <c r="B617" s="88"/>
      <c r="C617" s="88"/>
      <c r="D617" s="89"/>
      <c r="E617" s="89"/>
      <c r="AG617" s="87"/>
      <c r="AH617" s="87"/>
      <c r="AI617" s="87"/>
      <c r="AK617" s="87"/>
    </row>
    <row r="618">
      <c r="B618" s="88"/>
      <c r="C618" s="88"/>
      <c r="D618" s="89"/>
      <c r="E618" s="89"/>
      <c r="AG618" s="87"/>
      <c r="AH618" s="87"/>
      <c r="AI618" s="87"/>
      <c r="AK618" s="87"/>
    </row>
    <row r="619">
      <c r="B619" s="88"/>
      <c r="C619" s="88"/>
      <c r="D619" s="89"/>
      <c r="E619" s="89"/>
      <c r="AG619" s="87"/>
      <c r="AH619" s="87"/>
      <c r="AI619" s="87"/>
      <c r="AK619" s="87"/>
    </row>
    <row r="620">
      <c r="B620" s="88"/>
      <c r="C620" s="88"/>
      <c r="D620" s="89"/>
      <c r="E620" s="89"/>
      <c r="AG620" s="87"/>
      <c r="AH620" s="87"/>
      <c r="AI620" s="87"/>
      <c r="AK620" s="87"/>
    </row>
    <row r="621">
      <c r="B621" s="88"/>
      <c r="C621" s="88"/>
      <c r="D621" s="89"/>
      <c r="E621" s="89"/>
      <c r="AG621" s="87"/>
      <c r="AH621" s="87"/>
      <c r="AI621" s="87"/>
      <c r="AK621" s="87"/>
    </row>
    <row r="622">
      <c r="B622" s="88"/>
      <c r="C622" s="88"/>
      <c r="D622" s="89"/>
      <c r="E622" s="89"/>
      <c r="AG622" s="87"/>
      <c r="AH622" s="87"/>
      <c r="AI622" s="87"/>
      <c r="AK622" s="87"/>
    </row>
    <row r="623">
      <c r="B623" s="88"/>
      <c r="C623" s="88"/>
      <c r="D623" s="89"/>
      <c r="E623" s="89"/>
      <c r="AG623" s="87"/>
      <c r="AH623" s="87"/>
      <c r="AI623" s="87"/>
      <c r="AK623" s="87"/>
    </row>
    <row r="624">
      <c r="B624" s="88"/>
      <c r="C624" s="88"/>
      <c r="D624" s="89"/>
      <c r="E624" s="89"/>
      <c r="AG624" s="87"/>
      <c r="AH624" s="87"/>
      <c r="AI624" s="87"/>
      <c r="AK624" s="87"/>
    </row>
    <row r="625">
      <c r="B625" s="88"/>
      <c r="C625" s="88"/>
      <c r="D625" s="89"/>
      <c r="E625" s="89"/>
      <c r="AG625" s="87"/>
      <c r="AH625" s="87"/>
      <c r="AI625" s="87"/>
      <c r="AK625" s="87"/>
    </row>
    <row r="626">
      <c r="B626" s="88"/>
      <c r="C626" s="88"/>
      <c r="D626" s="89"/>
      <c r="E626" s="89"/>
      <c r="AG626" s="87"/>
      <c r="AH626" s="87"/>
      <c r="AI626" s="87"/>
      <c r="AK626" s="87"/>
    </row>
    <row r="627">
      <c r="B627" s="88"/>
      <c r="C627" s="88"/>
      <c r="D627" s="89"/>
      <c r="E627" s="89"/>
      <c r="AG627" s="87"/>
      <c r="AH627" s="87"/>
      <c r="AI627" s="87"/>
      <c r="AK627" s="87"/>
    </row>
    <row r="628">
      <c r="B628" s="88"/>
      <c r="C628" s="88"/>
      <c r="D628" s="89"/>
      <c r="E628" s="89"/>
      <c r="AG628" s="87"/>
      <c r="AH628" s="87"/>
      <c r="AI628" s="87"/>
      <c r="AK628" s="87"/>
    </row>
    <row r="629">
      <c r="B629" s="88"/>
      <c r="C629" s="88"/>
      <c r="D629" s="89"/>
      <c r="E629" s="89"/>
      <c r="AG629" s="87"/>
      <c r="AH629" s="87"/>
      <c r="AI629" s="87"/>
      <c r="AK629" s="87"/>
    </row>
    <row r="630">
      <c r="B630" s="88"/>
      <c r="C630" s="88"/>
      <c r="D630" s="89"/>
      <c r="E630" s="89"/>
      <c r="AG630" s="87"/>
      <c r="AH630" s="87"/>
      <c r="AI630" s="87"/>
      <c r="AK630" s="87"/>
    </row>
    <row r="631">
      <c r="B631" s="88"/>
      <c r="C631" s="88"/>
      <c r="D631" s="89"/>
      <c r="E631" s="89"/>
      <c r="AG631" s="87"/>
      <c r="AH631" s="87"/>
      <c r="AI631" s="87"/>
      <c r="AK631" s="87"/>
    </row>
    <row r="632">
      <c r="B632" s="88"/>
      <c r="C632" s="88"/>
      <c r="D632" s="89"/>
      <c r="E632" s="89"/>
      <c r="AG632" s="87"/>
      <c r="AH632" s="87"/>
      <c r="AI632" s="87"/>
      <c r="AK632" s="87"/>
    </row>
    <row r="633">
      <c r="B633" s="88"/>
      <c r="C633" s="88"/>
      <c r="D633" s="89"/>
      <c r="E633" s="89"/>
      <c r="AG633" s="87"/>
      <c r="AH633" s="87"/>
      <c r="AI633" s="87"/>
      <c r="AK633" s="87"/>
    </row>
    <row r="634">
      <c r="B634" s="88"/>
      <c r="C634" s="88"/>
      <c r="D634" s="89"/>
      <c r="E634" s="89"/>
      <c r="AG634" s="87"/>
      <c r="AH634" s="87"/>
      <c r="AI634" s="87"/>
      <c r="AK634" s="87"/>
    </row>
    <row r="635">
      <c r="B635" s="88"/>
      <c r="C635" s="88"/>
      <c r="D635" s="89"/>
      <c r="E635" s="89"/>
      <c r="AG635" s="87"/>
      <c r="AH635" s="87"/>
      <c r="AI635" s="87"/>
      <c r="AK635" s="87"/>
    </row>
    <row r="636">
      <c r="B636" s="88"/>
      <c r="C636" s="88"/>
      <c r="D636" s="89"/>
      <c r="E636" s="89"/>
      <c r="AG636" s="87"/>
      <c r="AH636" s="87"/>
      <c r="AI636" s="87"/>
      <c r="AK636" s="87"/>
    </row>
    <row r="637">
      <c r="B637" s="88"/>
      <c r="C637" s="88"/>
      <c r="D637" s="89"/>
      <c r="E637" s="89"/>
      <c r="AG637" s="87"/>
      <c r="AH637" s="87"/>
      <c r="AI637" s="87"/>
      <c r="AK637" s="87"/>
    </row>
    <row r="638">
      <c r="B638" s="88"/>
      <c r="C638" s="88"/>
      <c r="D638" s="89"/>
      <c r="E638" s="89"/>
      <c r="AG638" s="87"/>
      <c r="AH638" s="87"/>
      <c r="AI638" s="87"/>
      <c r="AK638" s="87"/>
    </row>
    <row r="639">
      <c r="B639" s="88"/>
      <c r="C639" s="88"/>
      <c r="D639" s="89"/>
      <c r="E639" s="89"/>
      <c r="AG639" s="87"/>
      <c r="AH639" s="87"/>
      <c r="AI639" s="87"/>
      <c r="AK639" s="87"/>
    </row>
    <row r="640">
      <c r="B640" s="88"/>
      <c r="C640" s="88"/>
      <c r="D640" s="89"/>
      <c r="E640" s="89"/>
      <c r="AG640" s="87"/>
      <c r="AH640" s="87"/>
      <c r="AI640" s="87"/>
      <c r="AK640" s="87"/>
    </row>
    <row r="641">
      <c r="B641" s="88"/>
      <c r="C641" s="88"/>
      <c r="D641" s="89"/>
      <c r="E641" s="89"/>
      <c r="AG641" s="87"/>
      <c r="AH641" s="87"/>
      <c r="AI641" s="87"/>
      <c r="AK641" s="87"/>
    </row>
    <row r="642">
      <c r="B642" s="88"/>
      <c r="C642" s="88"/>
      <c r="D642" s="89"/>
      <c r="E642" s="89"/>
      <c r="AG642" s="87"/>
      <c r="AH642" s="87"/>
      <c r="AI642" s="87"/>
      <c r="AK642" s="87"/>
    </row>
    <row r="643">
      <c r="B643" s="88"/>
      <c r="C643" s="88"/>
      <c r="D643" s="89"/>
      <c r="E643" s="89"/>
      <c r="AG643" s="87"/>
      <c r="AH643" s="87"/>
      <c r="AI643" s="87"/>
      <c r="AK643" s="87"/>
    </row>
    <row r="644">
      <c r="B644" s="88"/>
      <c r="C644" s="88"/>
      <c r="D644" s="89"/>
      <c r="E644" s="89"/>
      <c r="AG644" s="87"/>
      <c r="AH644" s="87"/>
      <c r="AI644" s="87"/>
      <c r="AK644" s="87"/>
    </row>
    <row r="645">
      <c r="B645" s="88"/>
      <c r="C645" s="88"/>
      <c r="D645" s="89"/>
      <c r="E645" s="89"/>
      <c r="AG645" s="87"/>
      <c r="AH645" s="87"/>
      <c r="AI645" s="87"/>
      <c r="AK645" s="87"/>
    </row>
    <row r="646">
      <c r="B646" s="88"/>
      <c r="C646" s="88"/>
      <c r="D646" s="89"/>
      <c r="E646" s="89"/>
      <c r="AG646" s="87"/>
      <c r="AH646" s="87"/>
      <c r="AI646" s="87"/>
      <c r="AK646" s="87"/>
    </row>
    <row r="647">
      <c r="B647" s="88"/>
      <c r="C647" s="88"/>
      <c r="D647" s="89"/>
      <c r="E647" s="89"/>
      <c r="AG647" s="87"/>
      <c r="AH647" s="87"/>
      <c r="AI647" s="87"/>
      <c r="AK647" s="87"/>
    </row>
    <row r="648">
      <c r="B648" s="88"/>
      <c r="C648" s="88"/>
      <c r="D648" s="89"/>
      <c r="E648" s="89"/>
      <c r="AG648" s="87"/>
      <c r="AH648" s="87"/>
      <c r="AI648" s="87"/>
      <c r="AK648" s="87"/>
    </row>
    <row r="649">
      <c r="B649" s="88"/>
      <c r="C649" s="88"/>
      <c r="D649" s="89"/>
      <c r="E649" s="89"/>
      <c r="AG649" s="87"/>
      <c r="AH649" s="87"/>
      <c r="AI649" s="87"/>
      <c r="AK649" s="87"/>
    </row>
    <row r="650">
      <c r="B650" s="88"/>
      <c r="C650" s="88"/>
      <c r="D650" s="89"/>
      <c r="E650" s="89"/>
      <c r="AG650" s="87"/>
      <c r="AH650" s="87"/>
      <c r="AI650" s="87"/>
      <c r="AK650" s="87"/>
    </row>
    <row r="651">
      <c r="B651" s="88"/>
      <c r="C651" s="88"/>
      <c r="D651" s="89"/>
      <c r="E651" s="89"/>
      <c r="AG651" s="87"/>
      <c r="AH651" s="87"/>
      <c r="AI651" s="87"/>
      <c r="AK651" s="87"/>
    </row>
    <row r="652">
      <c r="B652" s="88"/>
      <c r="C652" s="88"/>
      <c r="D652" s="89"/>
      <c r="E652" s="89"/>
      <c r="AG652" s="87"/>
      <c r="AH652" s="87"/>
      <c r="AI652" s="87"/>
      <c r="AK652" s="87"/>
    </row>
    <row r="653">
      <c r="B653" s="88"/>
      <c r="C653" s="88"/>
      <c r="D653" s="89"/>
      <c r="E653" s="89"/>
      <c r="AG653" s="87"/>
      <c r="AH653" s="87"/>
      <c r="AI653" s="87"/>
      <c r="AK653" s="87"/>
    </row>
    <row r="654">
      <c r="B654" s="88"/>
      <c r="C654" s="88"/>
      <c r="D654" s="89"/>
      <c r="E654" s="89"/>
      <c r="AG654" s="87"/>
      <c r="AH654" s="87"/>
      <c r="AI654" s="87"/>
      <c r="AK654" s="87"/>
    </row>
    <row r="655">
      <c r="B655" s="88"/>
      <c r="C655" s="88"/>
      <c r="D655" s="89"/>
      <c r="E655" s="89"/>
      <c r="AG655" s="87"/>
      <c r="AH655" s="87"/>
      <c r="AI655" s="87"/>
      <c r="AK655" s="87"/>
    </row>
    <row r="656">
      <c r="B656" s="88"/>
      <c r="C656" s="88"/>
      <c r="D656" s="89"/>
      <c r="E656" s="89"/>
      <c r="AG656" s="87"/>
      <c r="AH656" s="87"/>
      <c r="AI656" s="87"/>
      <c r="AK656" s="87"/>
    </row>
    <row r="657">
      <c r="B657" s="88"/>
      <c r="C657" s="88"/>
      <c r="D657" s="89"/>
      <c r="E657" s="89"/>
      <c r="AG657" s="87"/>
      <c r="AH657" s="87"/>
      <c r="AI657" s="87"/>
      <c r="AK657" s="87"/>
    </row>
    <row r="658">
      <c r="B658" s="88"/>
      <c r="C658" s="88"/>
      <c r="D658" s="89"/>
      <c r="E658" s="89"/>
      <c r="AG658" s="87"/>
      <c r="AH658" s="87"/>
      <c r="AI658" s="87"/>
      <c r="AK658" s="87"/>
    </row>
    <row r="659">
      <c r="B659" s="88"/>
      <c r="C659" s="88"/>
      <c r="D659" s="89"/>
      <c r="E659" s="89"/>
      <c r="AG659" s="87"/>
      <c r="AH659" s="87"/>
      <c r="AI659" s="87"/>
      <c r="AK659" s="87"/>
    </row>
    <row r="660">
      <c r="B660" s="88"/>
      <c r="C660" s="88"/>
      <c r="D660" s="89"/>
      <c r="E660" s="89"/>
      <c r="AG660" s="87"/>
      <c r="AH660" s="87"/>
      <c r="AI660" s="87"/>
      <c r="AK660" s="87"/>
    </row>
    <row r="661">
      <c r="B661" s="88"/>
      <c r="C661" s="88"/>
      <c r="D661" s="89"/>
      <c r="E661" s="89"/>
      <c r="AG661" s="87"/>
      <c r="AH661" s="87"/>
      <c r="AI661" s="87"/>
      <c r="AK661" s="87"/>
    </row>
    <row r="662">
      <c r="B662" s="88"/>
      <c r="C662" s="88"/>
      <c r="D662" s="89"/>
      <c r="E662" s="89"/>
      <c r="AG662" s="87"/>
      <c r="AH662" s="87"/>
      <c r="AI662" s="87"/>
      <c r="AK662" s="87"/>
    </row>
    <row r="663">
      <c r="B663" s="88"/>
      <c r="C663" s="88"/>
      <c r="D663" s="89"/>
      <c r="E663" s="89"/>
      <c r="AG663" s="87"/>
      <c r="AH663" s="87"/>
      <c r="AI663" s="87"/>
      <c r="AK663" s="87"/>
    </row>
    <row r="664">
      <c r="B664" s="88"/>
      <c r="C664" s="88"/>
      <c r="D664" s="89"/>
      <c r="E664" s="89"/>
      <c r="AG664" s="87"/>
      <c r="AH664" s="87"/>
      <c r="AI664" s="87"/>
      <c r="AK664" s="87"/>
    </row>
    <row r="665">
      <c r="B665" s="88"/>
      <c r="C665" s="88"/>
      <c r="D665" s="89"/>
      <c r="E665" s="89"/>
      <c r="AG665" s="87"/>
      <c r="AH665" s="87"/>
      <c r="AI665" s="87"/>
      <c r="AK665" s="87"/>
    </row>
    <row r="666">
      <c r="B666" s="88"/>
      <c r="C666" s="88"/>
      <c r="D666" s="89"/>
      <c r="E666" s="89"/>
      <c r="AG666" s="87"/>
      <c r="AH666" s="87"/>
      <c r="AI666" s="87"/>
      <c r="AK666" s="87"/>
    </row>
    <row r="667">
      <c r="B667" s="88"/>
      <c r="C667" s="88"/>
      <c r="D667" s="89"/>
      <c r="E667" s="89"/>
      <c r="AG667" s="87"/>
      <c r="AH667" s="87"/>
      <c r="AI667" s="87"/>
      <c r="AK667" s="87"/>
    </row>
    <row r="668">
      <c r="B668" s="88"/>
      <c r="C668" s="88"/>
      <c r="D668" s="89"/>
      <c r="E668" s="89"/>
      <c r="AG668" s="87"/>
      <c r="AH668" s="87"/>
      <c r="AI668" s="87"/>
      <c r="AK668" s="87"/>
    </row>
    <row r="669">
      <c r="B669" s="88"/>
      <c r="C669" s="88"/>
      <c r="D669" s="89"/>
      <c r="E669" s="89"/>
      <c r="AG669" s="87"/>
      <c r="AH669" s="87"/>
      <c r="AI669" s="87"/>
      <c r="AK669" s="87"/>
    </row>
    <row r="670">
      <c r="B670" s="88"/>
      <c r="C670" s="88"/>
      <c r="D670" s="89"/>
      <c r="E670" s="89"/>
      <c r="AG670" s="87"/>
      <c r="AH670" s="87"/>
      <c r="AI670" s="87"/>
      <c r="AK670" s="87"/>
    </row>
    <row r="671">
      <c r="B671" s="88"/>
      <c r="C671" s="88"/>
      <c r="D671" s="89"/>
      <c r="E671" s="89"/>
      <c r="AG671" s="87"/>
      <c r="AH671" s="87"/>
      <c r="AI671" s="87"/>
      <c r="AK671" s="87"/>
    </row>
    <row r="672">
      <c r="B672" s="88"/>
      <c r="C672" s="88"/>
      <c r="D672" s="89"/>
      <c r="E672" s="89"/>
      <c r="AG672" s="87"/>
      <c r="AH672" s="87"/>
      <c r="AI672" s="87"/>
      <c r="AK672" s="87"/>
    </row>
    <row r="673">
      <c r="B673" s="88"/>
      <c r="C673" s="88"/>
      <c r="D673" s="89"/>
      <c r="E673" s="89"/>
      <c r="AG673" s="87"/>
      <c r="AH673" s="87"/>
      <c r="AI673" s="87"/>
      <c r="AK673" s="87"/>
    </row>
    <row r="674">
      <c r="B674" s="88"/>
      <c r="C674" s="88"/>
      <c r="D674" s="89"/>
      <c r="E674" s="89"/>
      <c r="AG674" s="87"/>
      <c r="AH674" s="87"/>
      <c r="AI674" s="87"/>
      <c r="AK674" s="87"/>
    </row>
    <row r="675">
      <c r="B675" s="88"/>
      <c r="C675" s="88"/>
      <c r="D675" s="89"/>
      <c r="E675" s="89"/>
      <c r="AG675" s="87"/>
      <c r="AH675" s="87"/>
      <c r="AI675" s="87"/>
      <c r="AK675" s="87"/>
    </row>
    <row r="676">
      <c r="B676" s="88"/>
      <c r="C676" s="88"/>
      <c r="D676" s="89"/>
      <c r="E676" s="89"/>
      <c r="AG676" s="87"/>
      <c r="AH676" s="87"/>
      <c r="AI676" s="87"/>
      <c r="AK676" s="87"/>
    </row>
    <row r="677">
      <c r="B677" s="88"/>
      <c r="C677" s="88"/>
      <c r="D677" s="89"/>
      <c r="E677" s="89"/>
      <c r="AG677" s="87"/>
      <c r="AH677" s="87"/>
      <c r="AI677" s="87"/>
      <c r="AK677" s="87"/>
    </row>
    <row r="678">
      <c r="B678" s="88"/>
      <c r="C678" s="88"/>
      <c r="D678" s="89"/>
      <c r="E678" s="89"/>
      <c r="AG678" s="87"/>
      <c r="AH678" s="87"/>
      <c r="AI678" s="87"/>
      <c r="AK678" s="87"/>
    </row>
    <row r="679">
      <c r="B679" s="88"/>
      <c r="C679" s="88"/>
      <c r="D679" s="89"/>
      <c r="E679" s="89"/>
      <c r="AG679" s="87"/>
      <c r="AH679" s="87"/>
      <c r="AI679" s="87"/>
      <c r="AK679" s="87"/>
    </row>
    <row r="680">
      <c r="B680" s="88"/>
      <c r="C680" s="88"/>
      <c r="D680" s="89"/>
      <c r="E680" s="89"/>
      <c r="AG680" s="87"/>
      <c r="AH680" s="87"/>
      <c r="AI680" s="87"/>
      <c r="AK680" s="87"/>
    </row>
    <row r="681">
      <c r="B681" s="88"/>
      <c r="C681" s="88"/>
      <c r="D681" s="89"/>
      <c r="E681" s="89"/>
      <c r="AG681" s="87"/>
      <c r="AH681" s="87"/>
      <c r="AI681" s="87"/>
      <c r="AK681" s="87"/>
    </row>
    <row r="682">
      <c r="B682" s="88"/>
      <c r="C682" s="88"/>
      <c r="D682" s="89"/>
      <c r="E682" s="89"/>
      <c r="AG682" s="87"/>
      <c r="AH682" s="87"/>
      <c r="AI682" s="87"/>
      <c r="AK682" s="87"/>
    </row>
    <row r="683">
      <c r="B683" s="88"/>
      <c r="C683" s="88"/>
      <c r="D683" s="89"/>
      <c r="E683" s="89"/>
      <c r="AG683" s="87"/>
      <c r="AH683" s="87"/>
      <c r="AI683" s="87"/>
      <c r="AK683" s="87"/>
    </row>
    <row r="684">
      <c r="B684" s="88"/>
      <c r="C684" s="88"/>
      <c r="D684" s="89"/>
      <c r="E684" s="89"/>
      <c r="AG684" s="87"/>
      <c r="AH684" s="87"/>
      <c r="AI684" s="87"/>
      <c r="AK684" s="87"/>
    </row>
    <row r="685">
      <c r="B685" s="88"/>
      <c r="C685" s="88"/>
      <c r="D685" s="89"/>
      <c r="E685" s="89"/>
      <c r="AG685" s="87"/>
      <c r="AH685" s="87"/>
      <c r="AI685" s="87"/>
      <c r="AK685" s="87"/>
    </row>
    <row r="686">
      <c r="B686" s="88"/>
      <c r="C686" s="88"/>
      <c r="D686" s="89"/>
      <c r="E686" s="89"/>
      <c r="AG686" s="87"/>
      <c r="AH686" s="87"/>
      <c r="AI686" s="87"/>
      <c r="AK686" s="87"/>
    </row>
    <row r="687">
      <c r="B687" s="88"/>
      <c r="C687" s="88"/>
      <c r="D687" s="89"/>
      <c r="E687" s="89"/>
      <c r="AG687" s="87"/>
      <c r="AH687" s="87"/>
      <c r="AI687" s="87"/>
      <c r="AK687" s="87"/>
    </row>
    <row r="688">
      <c r="B688" s="88"/>
      <c r="C688" s="88"/>
      <c r="D688" s="89"/>
      <c r="E688" s="89"/>
      <c r="AG688" s="87"/>
      <c r="AH688" s="87"/>
      <c r="AI688" s="87"/>
      <c r="AK688" s="87"/>
    </row>
    <row r="689">
      <c r="B689" s="88"/>
      <c r="C689" s="88"/>
      <c r="D689" s="89"/>
      <c r="E689" s="89"/>
      <c r="AG689" s="87"/>
      <c r="AH689" s="87"/>
      <c r="AI689" s="87"/>
      <c r="AK689" s="87"/>
    </row>
    <row r="690">
      <c r="B690" s="88"/>
      <c r="C690" s="88"/>
      <c r="D690" s="89"/>
      <c r="E690" s="89"/>
      <c r="AG690" s="87"/>
      <c r="AH690" s="87"/>
      <c r="AI690" s="87"/>
      <c r="AK690" s="87"/>
    </row>
    <row r="691">
      <c r="B691" s="88"/>
      <c r="C691" s="88"/>
      <c r="D691" s="89"/>
      <c r="E691" s="89"/>
      <c r="AG691" s="87"/>
      <c r="AH691" s="87"/>
      <c r="AI691" s="87"/>
      <c r="AK691" s="87"/>
    </row>
    <row r="692">
      <c r="B692" s="88"/>
      <c r="C692" s="88"/>
      <c r="D692" s="89"/>
      <c r="E692" s="89"/>
      <c r="AG692" s="87"/>
      <c r="AH692" s="87"/>
      <c r="AI692" s="87"/>
      <c r="AK692" s="87"/>
    </row>
    <row r="693">
      <c r="B693" s="88"/>
      <c r="C693" s="88"/>
      <c r="D693" s="89"/>
      <c r="E693" s="89"/>
      <c r="AG693" s="87"/>
      <c r="AH693" s="87"/>
      <c r="AI693" s="87"/>
      <c r="AK693" s="87"/>
    </row>
    <row r="694">
      <c r="B694" s="88"/>
      <c r="C694" s="88"/>
      <c r="D694" s="89"/>
      <c r="E694" s="89"/>
      <c r="AG694" s="87"/>
      <c r="AH694" s="87"/>
      <c r="AI694" s="87"/>
      <c r="AK694" s="87"/>
    </row>
    <row r="695">
      <c r="B695" s="88"/>
      <c r="C695" s="88"/>
      <c r="D695" s="89"/>
      <c r="E695" s="89"/>
      <c r="AG695" s="87"/>
      <c r="AH695" s="87"/>
      <c r="AI695" s="87"/>
      <c r="AK695" s="87"/>
    </row>
    <row r="696">
      <c r="B696" s="88"/>
      <c r="C696" s="88"/>
      <c r="D696" s="89"/>
      <c r="E696" s="89"/>
      <c r="AG696" s="87"/>
      <c r="AH696" s="87"/>
      <c r="AI696" s="87"/>
      <c r="AK696" s="87"/>
    </row>
    <row r="697">
      <c r="B697" s="88"/>
      <c r="C697" s="88"/>
      <c r="D697" s="89"/>
      <c r="E697" s="89"/>
      <c r="AG697" s="87"/>
      <c r="AH697" s="87"/>
      <c r="AI697" s="87"/>
      <c r="AK697" s="87"/>
    </row>
    <row r="698">
      <c r="B698" s="88"/>
      <c r="C698" s="88"/>
      <c r="D698" s="89"/>
      <c r="E698" s="89"/>
      <c r="AG698" s="87"/>
      <c r="AH698" s="87"/>
      <c r="AI698" s="87"/>
      <c r="AK698" s="87"/>
    </row>
    <row r="699">
      <c r="B699" s="88"/>
      <c r="C699" s="88"/>
      <c r="D699" s="89"/>
      <c r="E699" s="89"/>
      <c r="AG699" s="87"/>
      <c r="AH699" s="87"/>
      <c r="AI699" s="87"/>
      <c r="AK699" s="87"/>
    </row>
    <row r="700">
      <c r="B700" s="88"/>
      <c r="C700" s="88"/>
      <c r="D700" s="89"/>
      <c r="E700" s="89"/>
      <c r="AG700" s="87"/>
      <c r="AH700" s="87"/>
      <c r="AI700" s="87"/>
      <c r="AK700" s="87"/>
    </row>
    <row r="701">
      <c r="B701" s="88"/>
      <c r="C701" s="88"/>
      <c r="D701" s="89"/>
      <c r="E701" s="89"/>
      <c r="AG701" s="87"/>
      <c r="AH701" s="87"/>
      <c r="AI701" s="87"/>
      <c r="AK701" s="87"/>
    </row>
    <row r="702">
      <c r="B702" s="88"/>
      <c r="C702" s="88"/>
      <c r="D702" s="89"/>
      <c r="E702" s="89"/>
      <c r="AG702" s="87"/>
      <c r="AH702" s="87"/>
      <c r="AI702" s="87"/>
      <c r="AK702" s="87"/>
    </row>
    <row r="703">
      <c r="B703" s="88"/>
      <c r="C703" s="88"/>
      <c r="D703" s="89"/>
      <c r="E703" s="89"/>
      <c r="AG703" s="87"/>
      <c r="AH703" s="87"/>
      <c r="AI703" s="87"/>
      <c r="AK703" s="87"/>
    </row>
    <row r="704">
      <c r="B704" s="88"/>
      <c r="C704" s="88"/>
      <c r="D704" s="89"/>
      <c r="E704" s="89"/>
      <c r="AG704" s="87"/>
      <c r="AH704" s="87"/>
      <c r="AI704" s="87"/>
      <c r="AK704" s="87"/>
    </row>
    <row r="705">
      <c r="B705" s="88"/>
      <c r="C705" s="88"/>
      <c r="D705" s="89"/>
      <c r="E705" s="89"/>
      <c r="AG705" s="87"/>
      <c r="AH705" s="87"/>
      <c r="AI705" s="87"/>
      <c r="AK705" s="87"/>
    </row>
    <row r="706">
      <c r="B706" s="88"/>
      <c r="C706" s="88"/>
      <c r="D706" s="89"/>
      <c r="E706" s="89"/>
      <c r="AG706" s="87"/>
      <c r="AH706" s="87"/>
      <c r="AI706" s="87"/>
      <c r="AK706" s="87"/>
    </row>
    <row r="707">
      <c r="B707" s="88"/>
      <c r="C707" s="88"/>
      <c r="D707" s="89"/>
      <c r="E707" s="89"/>
      <c r="AG707" s="87"/>
      <c r="AH707" s="87"/>
      <c r="AI707" s="87"/>
      <c r="AK707" s="87"/>
    </row>
    <row r="708">
      <c r="B708" s="88"/>
      <c r="C708" s="88"/>
      <c r="D708" s="89"/>
      <c r="E708" s="89"/>
      <c r="AG708" s="87"/>
      <c r="AH708" s="87"/>
      <c r="AI708" s="87"/>
      <c r="AK708" s="87"/>
    </row>
    <row r="709">
      <c r="B709" s="88"/>
      <c r="C709" s="88"/>
      <c r="D709" s="89"/>
      <c r="E709" s="89"/>
      <c r="AG709" s="87"/>
      <c r="AH709" s="87"/>
      <c r="AI709" s="87"/>
      <c r="AK709" s="87"/>
    </row>
    <row r="710">
      <c r="B710" s="88"/>
      <c r="C710" s="88"/>
      <c r="D710" s="89"/>
      <c r="E710" s="89"/>
      <c r="AG710" s="87"/>
      <c r="AH710" s="87"/>
      <c r="AI710" s="87"/>
      <c r="AK710" s="87"/>
    </row>
    <row r="711">
      <c r="B711" s="88"/>
      <c r="C711" s="88"/>
      <c r="D711" s="89"/>
      <c r="E711" s="89"/>
      <c r="AG711" s="87"/>
      <c r="AH711" s="87"/>
      <c r="AI711" s="87"/>
      <c r="AK711" s="87"/>
    </row>
    <row r="712">
      <c r="B712" s="88"/>
      <c r="C712" s="88"/>
      <c r="D712" s="89"/>
      <c r="E712" s="89"/>
      <c r="AG712" s="87"/>
      <c r="AH712" s="87"/>
      <c r="AI712" s="87"/>
      <c r="AK712" s="87"/>
    </row>
    <row r="713">
      <c r="B713" s="88"/>
      <c r="C713" s="88"/>
      <c r="D713" s="89"/>
      <c r="E713" s="89"/>
      <c r="AG713" s="87"/>
      <c r="AH713" s="87"/>
      <c r="AI713" s="87"/>
      <c r="AK713" s="87"/>
    </row>
    <row r="714">
      <c r="B714" s="88"/>
      <c r="C714" s="88"/>
      <c r="D714" s="89"/>
      <c r="E714" s="89"/>
      <c r="AG714" s="87"/>
      <c r="AH714" s="87"/>
      <c r="AI714" s="87"/>
      <c r="AK714" s="87"/>
    </row>
    <row r="715">
      <c r="B715" s="88"/>
      <c r="C715" s="88"/>
      <c r="D715" s="89"/>
      <c r="E715" s="89"/>
      <c r="AG715" s="87"/>
      <c r="AH715" s="87"/>
      <c r="AI715" s="87"/>
      <c r="AK715" s="87"/>
    </row>
    <row r="716">
      <c r="B716" s="88"/>
      <c r="C716" s="88"/>
      <c r="D716" s="89"/>
      <c r="E716" s="89"/>
      <c r="AG716" s="87"/>
      <c r="AH716" s="87"/>
      <c r="AI716" s="87"/>
      <c r="AK716" s="87"/>
    </row>
    <row r="717">
      <c r="B717" s="88"/>
      <c r="C717" s="88"/>
      <c r="D717" s="89"/>
      <c r="E717" s="89"/>
      <c r="AG717" s="87"/>
      <c r="AH717" s="87"/>
      <c r="AI717" s="87"/>
      <c r="AK717" s="87"/>
    </row>
    <row r="718">
      <c r="B718" s="88"/>
      <c r="C718" s="88"/>
      <c r="D718" s="89"/>
      <c r="E718" s="89"/>
      <c r="AG718" s="87"/>
      <c r="AH718" s="87"/>
      <c r="AI718" s="87"/>
      <c r="AK718" s="87"/>
    </row>
    <row r="719">
      <c r="B719" s="88"/>
      <c r="C719" s="88"/>
      <c r="D719" s="89"/>
      <c r="E719" s="89"/>
      <c r="AG719" s="87"/>
      <c r="AH719" s="87"/>
      <c r="AI719" s="87"/>
      <c r="AK719" s="87"/>
    </row>
    <row r="720">
      <c r="B720" s="88"/>
      <c r="C720" s="88"/>
      <c r="D720" s="89"/>
      <c r="E720" s="89"/>
      <c r="AG720" s="87"/>
      <c r="AH720" s="87"/>
      <c r="AI720" s="87"/>
      <c r="AK720" s="87"/>
    </row>
    <row r="721">
      <c r="B721" s="88"/>
      <c r="C721" s="88"/>
      <c r="D721" s="89"/>
      <c r="E721" s="89"/>
      <c r="AG721" s="87"/>
      <c r="AH721" s="87"/>
      <c r="AI721" s="87"/>
      <c r="AK721" s="87"/>
    </row>
    <row r="722">
      <c r="B722" s="88"/>
      <c r="C722" s="88"/>
      <c r="D722" s="89"/>
      <c r="E722" s="89"/>
      <c r="AG722" s="87"/>
      <c r="AH722" s="87"/>
      <c r="AI722" s="87"/>
      <c r="AK722" s="87"/>
    </row>
    <row r="723">
      <c r="B723" s="88"/>
      <c r="C723" s="88"/>
      <c r="D723" s="89"/>
      <c r="E723" s="89"/>
      <c r="AG723" s="87"/>
      <c r="AH723" s="87"/>
      <c r="AI723" s="87"/>
      <c r="AK723" s="87"/>
    </row>
    <row r="724">
      <c r="B724" s="88"/>
      <c r="C724" s="88"/>
      <c r="D724" s="89"/>
      <c r="E724" s="89"/>
      <c r="AG724" s="87"/>
      <c r="AH724" s="87"/>
      <c r="AI724" s="87"/>
      <c r="AK724" s="87"/>
    </row>
    <row r="725">
      <c r="B725" s="88"/>
      <c r="C725" s="88"/>
      <c r="D725" s="89"/>
      <c r="E725" s="89"/>
      <c r="AG725" s="87"/>
      <c r="AH725" s="87"/>
      <c r="AI725" s="87"/>
      <c r="AK725" s="87"/>
    </row>
    <row r="726">
      <c r="B726" s="88"/>
      <c r="C726" s="88"/>
      <c r="D726" s="89"/>
      <c r="E726" s="89"/>
      <c r="AG726" s="87"/>
      <c r="AH726" s="87"/>
      <c r="AI726" s="87"/>
      <c r="AK726" s="87"/>
    </row>
    <row r="727">
      <c r="B727" s="88"/>
      <c r="C727" s="88"/>
      <c r="D727" s="89"/>
      <c r="E727" s="89"/>
      <c r="AG727" s="87"/>
      <c r="AH727" s="87"/>
      <c r="AI727" s="87"/>
      <c r="AK727" s="87"/>
    </row>
    <row r="728">
      <c r="B728" s="88"/>
      <c r="C728" s="88"/>
      <c r="D728" s="89"/>
      <c r="E728" s="89"/>
      <c r="AG728" s="87"/>
      <c r="AH728" s="87"/>
      <c r="AI728" s="87"/>
      <c r="AK728" s="87"/>
    </row>
    <row r="729">
      <c r="B729" s="88"/>
      <c r="C729" s="88"/>
      <c r="D729" s="89"/>
      <c r="E729" s="89"/>
      <c r="AG729" s="87"/>
      <c r="AH729" s="87"/>
      <c r="AI729" s="87"/>
      <c r="AK729" s="87"/>
    </row>
    <row r="730">
      <c r="B730" s="88"/>
      <c r="C730" s="88"/>
      <c r="D730" s="89"/>
      <c r="E730" s="89"/>
      <c r="AG730" s="87"/>
      <c r="AH730" s="87"/>
      <c r="AI730" s="87"/>
      <c r="AK730" s="87"/>
    </row>
    <row r="731">
      <c r="B731" s="88"/>
      <c r="C731" s="88"/>
      <c r="D731" s="89"/>
      <c r="E731" s="89"/>
      <c r="AG731" s="87"/>
      <c r="AH731" s="87"/>
      <c r="AI731" s="87"/>
      <c r="AK731" s="87"/>
    </row>
    <row r="732">
      <c r="B732" s="88"/>
      <c r="C732" s="88"/>
      <c r="D732" s="89"/>
      <c r="E732" s="89"/>
      <c r="AG732" s="87"/>
      <c r="AH732" s="87"/>
      <c r="AI732" s="87"/>
      <c r="AK732" s="87"/>
    </row>
    <row r="733">
      <c r="B733" s="88"/>
      <c r="C733" s="88"/>
      <c r="D733" s="89"/>
      <c r="E733" s="89"/>
      <c r="AG733" s="87"/>
      <c r="AH733" s="87"/>
      <c r="AI733" s="87"/>
      <c r="AK733" s="87"/>
    </row>
    <row r="734">
      <c r="B734" s="88"/>
      <c r="C734" s="88"/>
      <c r="D734" s="89"/>
      <c r="E734" s="89"/>
      <c r="AG734" s="87"/>
      <c r="AH734" s="87"/>
      <c r="AI734" s="87"/>
      <c r="AK734" s="87"/>
    </row>
    <row r="735">
      <c r="B735" s="88"/>
      <c r="C735" s="88"/>
      <c r="D735" s="89"/>
      <c r="E735" s="89"/>
      <c r="AG735" s="87"/>
      <c r="AH735" s="87"/>
      <c r="AI735" s="87"/>
      <c r="AK735" s="87"/>
    </row>
    <row r="736">
      <c r="B736" s="88"/>
      <c r="C736" s="88"/>
      <c r="D736" s="89"/>
      <c r="E736" s="89"/>
      <c r="AG736" s="87"/>
      <c r="AH736" s="87"/>
      <c r="AI736" s="87"/>
      <c r="AK736" s="87"/>
    </row>
    <row r="737">
      <c r="B737" s="88"/>
      <c r="C737" s="88"/>
      <c r="D737" s="89"/>
      <c r="E737" s="89"/>
      <c r="AG737" s="87"/>
      <c r="AH737" s="87"/>
      <c r="AI737" s="87"/>
      <c r="AK737" s="87"/>
    </row>
    <row r="738">
      <c r="B738" s="88"/>
      <c r="C738" s="88"/>
      <c r="D738" s="89"/>
      <c r="E738" s="89"/>
      <c r="AG738" s="87"/>
      <c r="AH738" s="87"/>
      <c r="AI738" s="87"/>
      <c r="AK738" s="87"/>
    </row>
    <row r="739">
      <c r="B739" s="88"/>
      <c r="C739" s="88"/>
      <c r="D739" s="89"/>
      <c r="E739" s="89"/>
      <c r="AG739" s="87"/>
      <c r="AH739" s="87"/>
      <c r="AI739" s="87"/>
      <c r="AK739" s="87"/>
    </row>
    <row r="740">
      <c r="B740" s="88"/>
      <c r="C740" s="88"/>
      <c r="D740" s="89"/>
      <c r="E740" s="89"/>
      <c r="AG740" s="87"/>
      <c r="AH740" s="87"/>
      <c r="AI740" s="87"/>
      <c r="AK740" s="87"/>
    </row>
    <row r="741">
      <c r="B741" s="88"/>
      <c r="C741" s="88"/>
      <c r="D741" s="89"/>
      <c r="E741" s="89"/>
      <c r="AG741" s="87"/>
      <c r="AH741" s="87"/>
      <c r="AI741" s="87"/>
      <c r="AK741" s="87"/>
    </row>
    <row r="742">
      <c r="B742" s="88"/>
      <c r="C742" s="88"/>
      <c r="D742" s="89"/>
      <c r="E742" s="89"/>
      <c r="AG742" s="87"/>
      <c r="AH742" s="87"/>
      <c r="AI742" s="87"/>
      <c r="AK742" s="87"/>
    </row>
    <row r="743">
      <c r="B743" s="88"/>
      <c r="C743" s="88"/>
      <c r="D743" s="89"/>
      <c r="E743" s="89"/>
      <c r="AG743" s="87"/>
      <c r="AH743" s="87"/>
      <c r="AI743" s="87"/>
      <c r="AK743" s="87"/>
    </row>
    <row r="744">
      <c r="B744" s="88"/>
      <c r="C744" s="88"/>
      <c r="D744" s="89"/>
      <c r="E744" s="89"/>
      <c r="AG744" s="87"/>
      <c r="AH744" s="87"/>
      <c r="AI744" s="87"/>
      <c r="AK744" s="87"/>
    </row>
    <row r="745">
      <c r="B745" s="88"/>
      <c r="C745" s="88"/>
      <c r="D745" s="89"/>
      <c r="E745" s="89"/>
      <c r="AG745" s="87"/>
      <c r="AH745" s="87"/>
      <c r="AI745" s="87"/>
      <c r="AK745" s="87"/>
    </row>
    <row r="746">
      <c r="B746" s="88"/>
      <c r="C746" s="88"/>
      <c r="D746" s="89"/>
      <c r="E746" s="89"/>
      <c r="AG746" s="87"/>
      <c r="AH746" s="87"/>
      <c r="AI746" s="87"/>
      <c r="AK746" s="87"/>
    </row>
    <row r="747">
      <c r="B747" s="88"/>
      <c r="C747" s="88"/>
      <c r="D747" s="89"/>
      <c r="E747" s="89"/>
      <c r="AG747" s="87"/>
      <c r="AH747" s="87"/>
      <c r="AI747" s="87"/>
      <c r="AK747" s="87"/>
    </row>
    <row r="748">
      <c r="B748" s="88"/>
      <c r="C748" s="88"/>
      <c r="D748" s="89"/>
      <c r="E748" s="89"/>
      <c r="AG748" s="87"/>
      <c r="AH748" s="87"/>
      <c r="AI748" s="87"/>
      <c r="AK748" s="87"/>
    </row>
    <row r="749">
      <c r="B749" s="88"/>
      <c r="C749" s="88"/>
      <c r="D749" s="89"/>
      <c r="E749" s="89"/>
      <c r="AG749" s="87"/>
      <c r="AH749" s="87"/>
      <c r="AI749" s="87"/>
      <c r="AK749" s="87"/>
    </row>
    <row r="750">
      <c r="B750" s="88"/>
      <c r="C750" s="88"/>
      <c r="D750" s="89"/>
      <c r="E750" s="89"/>
      <c r="AG750" s="87"/>
      <c r="AH750" s="87"/>
      <c r="AI750" s="87"/>
      <c r="AK750" s="87"/>
    </row>
    <row r="751">
      <c r="B751" s="88"/>
      <c r="C751" s="88"/>
      <c r="D751" s="89"/>
      <c r="E751" s="89"/>
      <c r="AG751" s="87"/>
      <c r="AH751" s="87"/>
      <c r="AI751" s="87"/>
      <c r="AK751" s="87"/>
    </row>
    <row r="752">
      <c r="B752" s="88"/>
      <c r="C752" s="88"/>
      <c r="D752" s="89"/>
      <c r="E752" s="89"/>
      <c r="AG752" s="87"/>
      <c r="AH752" s="87"/>
      <c r="AI752" s="87"/>
      <c r="AK752" s="87"/>
    </row>
    <row r="753">
      <c r="B753" s="88"/>
      <c r="C753" s="88"/>
      <c r="D753" s="89"/>
      <c r="E753" s="89"/>
      <c r="AG753" s="87"/>
      <c r="AH753" s="87"/>
      <c r="AI753" s="87"/>
      <c r="AK753" s="87"/>
    </row>
    <row r="754">
      <c r="B754" s="88"/>
      <c r="C754" s="88"/>
      <c r="D754" s="89"/>
      <c r="E754" s="89"/>
      <c r="AG754" s="87"/>
      <c r="AH754" s="87"/>
      <c r="AI754" s="87"/>
      <c r="AK754" s="87"/>
    </row>
    <row r="755">
      <c r="B755" s="88"/>
      <c r="C755" s="88"/>
      <c r="D755" s="89"/>
      <c r="E755" s="89"/>
      <c r="AG755" s="87"/>
      <c r="AH755" s="87"/>
      <c r="AI755" s="87"/>
      <c r="AK755" s="87"/>
    </row>
    <row r="756">
      <c r="B756" s="88"/>
      <c r="C756" s="88"/>
      <c r="D756" s="89"/>
      <c r="E756" s="89"/>
      <c r="AG756" s="87"/>
      <c r="AH756" s="87"/>
      <c r="AI756" s="87"/>
      <c r="AK756" s="87"/>
    </row>
    <row r="757">
      <c r="B757" s="88"/>
      <c r="C757" s="88"/>
      <c r="D757" s="89"/>
      <c r="E757" s="89"/>
      <c r="AG757" s="87"/>
      <c r="AH757" s="87"/>
      <c r="AI757" s="87"/>
      <c r="AK757" s="87"/>
    </row>
    <row r="758">
      <c r="B758" s="88"/>
      <c r="C758" s="88"/>
      <c r="D758" s="89"/>
      <c r="E758" s="89"/>
      <c r="AG758" s="87"/>
      <c r="AH758" s="87"/>
      <c r="AI758" s="87"/>
      <c r="AK758" s="87"/>
    </row>
    <row r="759">
      <c r="B759" s="88"/>
      <c r="C759" s="88"/>
      <c r="D759" s="89"/>
      <c r="E759" s="89"/>
      <c r="AG759" s="87"/>
      <c r="AH759" s="87"/>
      <c r="AI759" s="87"/>
      <c r="AK759" s="87"/>
    </row>
    <row r="760">
      <c r="B760" s="88"/>
      <c r="C760" s="88"/>
      <c r="D760" s="89"/>
      <c r="E760" s="89"/>
      <c r="AG760" s="87"/>
      <c r="AH760" s="87"/>
      <c r="AI760" s="87"/>
      <c r="AK760" s="87"/>
    </row>
    <row r="761">
      <c r="B761" s="88"/>
      <c r="C761" s="88"/>
      <c r="D761" s="89"/>
      <c r="E761" s="89"/>
      <c r="AG761" s="87"/>
      <c r="AH761" s="87"/>
      <c r="AI761" s="87"/>
      <c r="AK761" s="87"/>
    </row>
    <row r="762">
      <c r="B762" s="88"/>
      <c r="C762" s="88"/>
      <c r="D762" s="89"/>
      <c r="E762" s="89"/>
      <c r="AG762" s="87"/>
      <c r="AH762" s="87"/>
      <c r="AI762" s="87"/>
      <c r="AK762" s="87"/>
    </row>
    <row r="763">
      <c r="B763" s="88"/>
      <c r="C763" s="88"/>
      <c r="D763" s="89"/>
      <c r="E763" s="89"/>
      <c r="AG763" s="87"/>
      <c r="AH763" s="87"/>
      <c r="AI763" s="87"/>
      <c r="AK763" s="87"/>
    </row>
    <row r="764">
      <c r="B764" s="88"/>
      <c r="C764" s="88"/>
      <c r="D764" s="89"/>
      <c r="E764" s="89"/>
      <c r="AG764" s="87"/>
      <c r="AH764" s="87"/>
      <c r="AI764" s="87"/>
      <c r="AK764" s="87"/>
    </row>
    <row r="765">
      <c r="B765" s="88"/>
      <c r="C765" s="88"/>
      <c r="D765" s="89"/>
      <c r="E765" s="89"/>
      <c r="AG765" s="87"/>
      <c r="AH765" s="87"/>
      <c r="AI765" s="87"/>
      <c r="AK765" s="87"/>
    </row>
    <row r="766">
      <c r="B766" s="88"/>
      <c r="C766" s="88"/>
      <c r="D766" s="89"/>
      <c r="E766" s="89"/>
      <c r="AG766" s="87"/>
      <c r="AH766" s="87"/>
      <c r="AI766" s="87"/>
      <c r="AK766" s="87"/>
    </row>
    <row r="767">
      <c r="B767" s="88"/>
      <c r="C767" s="88"/>
      <c r="D767" s="89"/>
      <c r="E767" s="89"/>
      <c r="AG767" s="87"/>
      <c r="AH767" s="87"/>
      <c r="AI767" s="87"/>
      <c r="AK767" s="87"/>
    </row>
    <row r="768">
      <c r="B768" s="88"/>
      <c r="C768" s="88"/>
      <c r="D768" s="89"/>
      <c r="E768" s="89"/>
      <c r="AG768" s="87"/>
      <c r="AH768" s="87"/>
      <c r="AI768" s="87"/>
      <c r="AK768" s="87"/>
    </row>
    <row r="769">
      <c r="B769" s="88"/>
      <c r="C769" s="88"/>
      <c r="D769" s="89"/>
      <c r="E769" s="89"/>
      <c r="AG769" s="87"/>
      <c r="AH769" s="87"/>
      <c r="AI769" s="87"/>
      <c r="AK769" s="87"/>
    </row>
    <row r="770">
      <c r="B770" s="88"/>
      <c r="C770" s="88"/>
      <c r="D770" s="89"/>
      <c r="E770" s="89"/>
      <c r="AG770" s="87"/>
      <c r="AH770" s="87"/>
      <c r="AI770" s="87"/>
      <c r="AK770" s="87"/>
    </row>
    <row r="771">
      <c r="B771" s="88"/>
      <c r="C771" s="88"/>
      <c r="D771" s="89"/>
      <c r="E771" s="89"/>
      <c r="AG771" s="87"/>
      <c r="AH771" s="87"/>
      <c r="AI771" s="87"/>
      <c r="AK771" s="87"/>
    </row>
    <row r="772">
      <c r="B772" s="88"/>
      <c r="C772" s="88"/>
      <c r="D772" s="89"/>
      <c r="E772" s="89"/>
      <c r="AG772" s="87"/>
      <c r="AH772" s="87"/>
      <c r="AI772" s="87"/>
      <c r="AK772" s="87"/>
    </row>
    <row r="773">
      <c r="B773" s="88"/>
      <c r="C773" s="88"/>
      <c r="D773" s="89"/>
      <c r="E773" s="89"/>
      <c r="AG773" s="87"/>
      <c r="AH773" s="87"/>
      <c r="AI773" s="87"/>
      <c r="AK773" s="87"/>
    </row>
    <row r="774">
      <c r="B774" s="88"/>
      <c r="C774" s="88"/>
      <c r="D774" s="89"/>
      <c r="E774" s="89"/>
      <c r="AG774" s="87"/>
      <c r="AH774" s="87"/>
      <c r="AI774" s="87"/>
      <c r="AK774" s="87"/>
    </row>
    <row r="775">
      <c r="B775" s="88"/>
      <c r="C775" s="88"/>
      <c r="D775" s="89"/>
      <c r="E775" s="89"/>
      <c r="AG775" s="87"/>
      <c r="AH775" s="87"/>
      <c r="AI775" s="87"/>
      <c r="AK775" s="87"/>
    </row>
    <row r="776">
      <c r="B776" s="88"/>
      <c r="C776" s="88"/>
      <c r="D776" s="89"/>
      <c r="E776" s="89"/>
      <c r="AG776" s="87"/>
      <c r="AH776" s="87"/>
      <c r="AI776" s="87"/>
      <c r="AK776" s="87"/>
    </row>
    <row r="777">
      <c r="B777" s="88"/>
      <c r="C777" s="88"/>
      <c r="D777" s="89"/>
      <c r="E777" s="89"/>
      <c r="AG777" s="87"/>
      <c r="AH777" s="87"/>
      <c r="AI777" s="87"/>
      <c r="AK777" s="87"/>
    </row>
    <row r="778">
      <c r="B778" s="88"/>
      <c r="C778" s="88"/>
      <c r="D778" s="89"/>
      <c r="E778" s="89"/>
      <c r="AG778" s="87"/>
      <c r="AH778" s="87"/>
      <c r="AI778" s="87"/>
      <c r="AK778" s="87"/>
    </row>
    <row r="779">
      <c r="B779" s="88"/>
      <c r="C779" s="88"/>
      <c r="D779" s="89"/>
      <c r="E779" s="89"/>
      <c r="AG779" s="87"/>
      <c r="AH779" s="87"/>
      <c r="AI779" s="87"/>
      <c r="AK779" s="87"/>
    </row>
    <row r="780">
      <c r="B780" s="88"/>
      <c r="C780" s="88"/>
      <c r="D780" s="89"/>
      <c r="E780" s="89"/>
      <c r="AG780" s="87"/>
      <c r="AH780" s="87"/>
      <c r="AI780" s="87"/>
      <c r="AK780" s="87"/>
    </row>
    <row r="781">
      <c r="B781" s="88"/>
      <c r="C781" s="88"/>
      <c r="D781" s="89"/>
      <c r="E781" s="89"/>
      <c r="AG781" s="87"/>
      <c r="AH781" s="87"/>
      <c r="AI781" s="87"/>
      <c r="AK781" s="87"/>
    </row>
    <row r="782">
      <c r="B782" s="88"/>
      <c r="C782" s="88"/>
      <c r="D782" s="89"/>
      <c r="E782" s="89"/>
      <c r="AG782" s="87"/>
      <c r="AH782" s="87"/>
      <c r="AI782" s="87"/>
      <c r="AK782" s="87"/>
    </row>
    <row r="783">
      <c r="B783" s="88"/>
      <c r="C783" s="88"/>
      <c r="D783" s="89"/>
      <c r="E783" s="89"/>
      <c r="AG783" s="87"/>
      <c r="AH783" s="87"/>
      <c r="AI783" s="87"/>
      <c r="AK783" s="87"/>
    </row>
    <row r="784">
      <c r="B784" s="88"/>
      <c r="C784" s="88"/>
      <c r="D784" s="89"/>
      <c r="E784" s="89"/>
      <c r="AG784" s="87"/>
      <c r="AH784" s="87"/>
      <c r="AI784" s="87"/>
      <c r="AK784" s="87"/>
    </row>
    <row r="785">
      <c r="B785" s="88"/>
      <c r="C785" s="88"/>
      <c r="D785" s="89"/>
      <c r="E785" s="89"/>
      <c r="AG785" s="87"/>
      <c r="AH785" s="87"/>
      <c r="AI785" s="87"/>
      <c r="AK785" s="87"/>
    </row>
    <row r="786">
      <c r="B786" s="88"/>
      <c r="C786" s="88"/>
      <c r="D786" s="89"/>
      <c r="E786" s="89"/>
      <c r="AG786" s="87"/>
      <c r="AH786" s="87"/>
      <c r="AI786" s="87"/>
      <c r="AK786" s="87"/>
    </row>
    <row r="787">
      <c r="B787" s="88"/>
      <c r="C787" s="88"/>
      <c r="D787" s="89"/>
      <c r="E787" s="89"/>
      <c r="AG787" s="87"/>
      <c r="AH787" s="87"/>
      <c r="AI787" s="87"/>
      <c r="AK787" s="87"/>
    </row>
    <row r="788">
      <c r="B788" s="88"/>
      <c r="C788" s="88"/>
      <c r="D788" s="89"/>
      <c r="E788" s="89"/>
      <c r="AG788" s="87"/>
      <c r="AH788" s="87"/>
      <c r="AI788" s="87"/>
      <c r="AK788" s="87"/>
    </row>
    <row r="789">
      <c r="B789" s="88"/>
      <c r="C789" s="88"/>
      <c r="D789" s="89"/>
      <c r="E789" s="89"/>
      <c r="AG789" s="87"/>
      <c r="AH789" s="87"/>
      <c r="AI789" s="87"/>
      <c r="AK789" s="87"/>
    </row>
    <row r="790">
      <c r="B790" s="88"/>
      <c r="C790" s="88"/>
      <c r="D790" s="89"/>
      <c r="E790" s="89"/>
      <c r="AG790" s="87"/>
      <c r="AH790" s="87"/>
      <c r="AI790" s="87"/>
      <c r="AK790" s="87"/>
    </row>
    <row r="791">
      <c r="B791" s="88"/>
      <c r="C791" s="88"/>
      <c r="D791" s="89"/>
      <c r="E791" s="89"/>
      <c r="AG791" s="87"/>
      <c r="AH791" s="87"/>
      <c r="AI791" s="87"/>
      <c r="AK791" s="87"/>
    </row>
    <row r="792">
      <c r="B792" s="88"/>
      <c r="C792" s="88"/>
      <c r="D792" s="89"/>
      <c r="E792" s="89"/>
      <c r="AG792" s="87"/>
      <c r="AH792" s="87"/>
      <c r="AI792" s="87"/>
      <c r="AK792" s="87"/>
    </row>
    <row r="793">
      <c r="B793" s="88"/>
      <c r="C793" s="88"/>
      <c r="D793" s="89"/>
      <c r="E793" s="89"/>
      <c r="AG793" s="87"/>
      <c r="AH793" s="87"/>
      <c r="AI793" s="87"/>
      <c r="AK793" s="87"/>
    </row>
    <row r="794">
      <c r="B794" s="88"/>
      <c r="C794" s="88"/>
      <c r="D794" s="89"/>
      <c r="E794" s="89"/>
      <c r="AG794" s="87"/>
      <c r="AH794" s="87"/>
      <c r="AI794" s="87"/>
      <c r="AK794" s="87"/>
    </row>
    <row r="795">
      <c r="B795" s="88"/>
      <c r="C795" s="88"/>
      <c r="D795" s="89"/>
      <c r="E795" s="89"/>
      <c r="AG795" s="87"/>
      <c r="AH795" s="87"/>
      <c r="AI795" s="87"/>
      <c r="AK795" s="87"/>
    </row>
    <row r="796">
      <c r="B796" s="88"/>
      <c r="C796" s="88"/>
      <c r="D796" s="89"/>
      <c r="E796" s="89"/>
      <c r="AG796" s="87"/>
      <c r="AH796" s="87"/>
      <c r="AI796" s="87"/>
      <c r="AK796" s="87"/>
    </row>
    <row r="797">
      <c r="B797" s="88"/>
      <c r="C797" s="88"/>
      <c r="D797" s="89"/>
      <c r="E797" s="89"/>
      <c r="AG797" s="87"/>
      <c r="AH797" s="87"/>
      <c r="AI797" s="87"/>
      <c r="AK797" s="87"/>
    </row>
    <row r="798">
      <c r="B798" s="88"/>
      <c r="C798" s="88"/>
      <c r="D798" s="89"/>
      <c r="E798" s="89"/>
      <c r="AG798" s="87"/>
      <c r="AH798" s="87"/>
      <c r="AI798" s="87"/>
      <c r="AK798" s="87"/>
    </row>
    <row r="799">
      <c r="B799" s="88"/>
      <c r="C799" s="88"/>
      <c r="D799" s="89"/>
      <c r="E799" s="89"/>
      <c r="AG799" s="87"/>
      <c r="AH799" s="87"/>
      <c r="AI799" s="87"/>
      <c r="AK799" s="87"/>
    </row>
    <row r="800">
      <c r="B800" s="88"/>
      <c r="C800" s="88"/>
      <c r="D800" s="89"/>
      <c r="E800" s="89"/>
      <c r="AG800" s="87"/>
      <c r="AH800" s="87"/>
      <c r="AI800" s="87"/>
      <c r="AK800" s="87"/>
    </row>
    <row r="801">
      <c r="B801" s="88"/>
      <c r="C801" s="88"/>
      <c r="D801" s="89"/>
      <c r="E801" s="89"/>
      <c r="AG801" s="87"/>
      <c r="AH801" s="87"/>
      <c r="AI801" s="87"/>
      <c r="AK801" s="87"/>
    </row>
    <row r="802">
      <c r="B802" s="88"/>
      <c r="C802" s="88"/>
      <c r="D802" s="89"/>
      <c r="E802" s="89"/>
      <c r="AG802" s="87"/>
      <c r="AH802" s="87"/>
      <c r="AI802" s="87"/>
      <c r="AK802" s="87"/>
    </row>
    <row r="803">
      <c r="B803" s="88"/>
      <c r="C803" s="88"/>
      <c r="D803" s="89"/>
      <c r="E803" s="89"/>
      <c r="AG803" s="87"/>
      <c r="AH803" s="87"/>
      <c r="AI803" s="87"/>
      <c r="AK803" s="87"/>
    </row>
    <row r="804">
      <c r="B804" s="88"/>
      <c r="C804" s="88"/>
      <c r="D804" s="89"/>
      <c r="E804" s="89"/>
      <c r="AG804" s="87"/>
      <c r="AH804" s="87"/>
      <c r="AI804" s="87"/>
      <c r="AK804" s="87"/>
    </row>
    <row r="805">
      <c r="B805" s="88"/>
      <c r="C805" s="88"/>
      <c r="D805" s="89"/>
      <c r="E805" s="89"/>
      <c r="AG805" s="87"/>
      <c r="AH805" s="87"/>
      <c r="AI805" s="87"/>
      <c r="AK805" s="87"/>
    </row>
    <row r="806">
      <c r="B806" s="88"/>
      <c r="C806" s="88"/>
      <c r="D806" s="89"/>
      <c r="E806" s="89"/>
      <c r="AG806" s="87"/>
      <c r="AH806" s="87"/>
      <c r="AI806" s="87"/>
      <c r="AK806" s="87"/>
    </row>
    <row r="807">
      <c r="B807" s="88"/>
      <c r="C807" s="88"/>
      <c r="D807" s="89"/>
      <c r="E807" s="89"/>
      <c r="AG807" s="87"/>
      <c r="AH807" s="87"/>
      <c r="AI807" s="87"/>
      <c r="AK807" s="87"/>
    </row>
    <row r="808">
      <c r="B808" s="88"/>
      <c r="C808" s="88"/>
      <c r="D808" s="89"/>
      <c r="E808" s="89"/>
      <c r="AG808" s="87"/>
      <c r="AH808" s="87"/>
      <c r="AI808" s="87"/>
      <c r="AK808" s="87"/>
    </row>
    <row r="809">
      <c r="B809" s="88"/>
      <c r="C809" s="88"/>
      <c r="D809" s="89"/>
      <c r="E809" s="89"/>
      <c r="AG809" s="87"/>
      <c r="AH809" s="87"/>
      <c r="AI809" s="87"/>
      <c r="AK809" s="87"/>
    </row>
    <row r="810">
      <c r="B810" s="88"/>
      <c r="C810" s="88"/>
      <c r="D810" s="89"/>
      <c r="E810" s="89"/>
      <c r="AG810" s="87"/>
      <c r="AH810" s="87"/>
      <c r="AI810" s="87"/>
      <c r="AK810" s="87"/>
    </row>
    <row r="811">
      <c r="B811" s="88"/>
      <c r="C811" s="88"/>
      <c r="D811" s="89"/>
      <c r="E811" s="89"/>
      <c r="AG811" s="87"/>
      <c r="AH811" s="87"/>
      <c r="AI811" s="87"/>
      <c r="AK811" s="87"/>
    </row>
    <row r="812">
      <c r="B812" s="88"/>
      <c r="C812" s="88"/>
      <c r="D812" s="89"/>
      <c r="E812" s="89"/>
      <c r="AG812" s="87"/>
      <c r="AH812" s="87"/>
      <c r="AI812" s="87"/>
      <c r="AK812" s="87"/>
    </row>
    <row r="813">
      <c r="B813" s="88"/>
      <c r="C813" s="88"/>
      <c r="D813" s="89"/>
      <c r="E813" s="89"/>
      <c r="AG813" s="87"/>
      <c r="AH813" s="87"/>
      <c r="AI813" s="87"/>
      <c r="AK813" s="87"/>
    </row>
    <row r="814">
      <c r="B814" s="88"/>
      <c r="C814" s="88"/>
      <c r="D814" s="89"/>
      <c r="E814" s="89"/>
      <c r="AG814" s="87"/>
      <c r="AH814" s="87"/>
      <c r="AI814" s="87"/>
      <c r="AK814" s="87"/>
    </row>
    <row r="815">
      <c r="B815" s="88"/>
      <c r="C815" s="88"/>
      <c r="D815" s="89"/>
      <c r="E815" s="89"/>
      <c r="AG815" s="87"/>
      <c r="AH815" s="87"/>
      <c r="AI815" s="87"/>
      <c r="AK815" s="87"/>
    </row>
    <row r="816">
      <c r="B816" s="88"/>
      <c r="C816" s="88"/>
      <c r="D816" s="89"/>
      <c r="E816" s="89"/>
      <c r="AG816" s="87"/>
      <c r="AH816" s="87"/>
      <c r="AI816" s="87"/>
      <c r="AK816" s="87"/>
    </row>
    <row r="817">
      <c r="B817" s="88"/>
      <c r="C817" s="88"/>
      <c r="D817" s="89"/>
      <c r="E817" s="89"/>
      <c r="AG817" s="87"/>
      <c r="AH817" s="87"/>
      <c r="AI817" s="87"/>
      <c r="AK817" s="87"/>
    </row>
    <row r="818">
      <c r="B818" s="88"/>
      <c r="C818" s="88"/>
      <c r="D818" s="89"/>
      <c r="E818" s="89"/>
      <c r="AG818" s="87"/>
      <c r="AH818" s="87"/>
      <c r="AI818" s="87"/>
      <c r="AK818" s="87"/>
    </row>
    <row r="819">
      <c r="B819" s="88"/>
      <c r="C819" s="88"/>
      <c r="D819" s="89"/>
      <c r="E819" s="89"/>
      <c r="AG819" s="87"/>
      <c r="AH819" s="87"/>
      <c r="AI819" s="87"/>
      <c r="AK819" s="87"/>
    </row>
    <row r="820">
      <c r="B820" s="88"/>
      <c r="C820" s="88"/>
      <c r="D820" s="89"/>
      <c r="E820" s="89"/>
      <c r="AG820" s="87"/>
      <c r="AH820" s="87"/>
      <c r="AI820" s="87"/>
      <c r="AK820" s="87"/>
    </row>
    <row r="821">
      <c r="B821" s="88"/>
      <c r="C821" s="88"/>
      <c r="D821" s="89"/>
      <c r="E821" s="89"/>
      <c r="AG821" s="87"/>
      <c r="AH821" s="87"/>
      <c r="AI821" s="87"/>
      <c r="AK821" s="87"/>
    </row>
    <row r="822">
      <c r="B822" s="88"/>
      <c r="C822" s="88"/>
      <c r="D822" s="89"/>
      <c r="E822" s="89"/>
      <c r="AG822" s="87"/>
      <c r="AH822" s="87"/>
      <c r="AI822" s="87"/>
      <c r="AK822" s="87"/>
    </row>
    <row r="823">
      <c r="B823" s="88"/>
      <c r="C823" s="88"/>
      <c r="D823" s="89"/>
      <c r="E823" s="89"/>
      <c r="AG823" s="87"/>
      <c r="AH823" s="87"/>
      <c r="AI823" s="87"/>
      <c r="AK823" s="87"/>
    </row>
    <row r="824">
      <c r="B824" s="88"/>
      <c r="C824" s="88"/>
      <c r="D824" s="89"/>
      <c r="E824" s="89"/>
      <c r="AG824" s="87"/>
      <c r="AH824" s="87"/>
      <c r="AI824" s="87"/>
      <c r="AK824" s="87"/>
    </row>
    <row r="825">
      <c r="B825" s="88"/>
      <c r="C825" s="88"/>
      <c r="D825" s="89"/>
      <c r="E825" s="89"/>
      <c r="AG825" s="87"/>
      <c r="AH825" s="87"/>
      <c r="AI825" s="87"/>
      <c r="AK825" s="87"/>
    </row>
    <row r="826">
      <c r="B826" s="88"/>
      <c r="C826" s="88"/>
      <c r="D826" s="89"/>
      <c r="E826" s="89"/>
      <c r="AG826" s="87"/>
      <c r="AH826" s="87"/>
      <c r="AI826" s="87"/>
      <c r="AK826" s="87"/>
    </row>
    <row r="827">
      <c r="B827" s="88"/>
      <c r="C827" s="88"/>
      <c r="D827" s="89"/>
      <c r="E827" s="89"/>
      <c r="AG827" s="87"/>
      <c r="AH827" s="87"/>
      <c r="AI827" s="87"/>
      <c r="AK827" s="87"/>
    </row>
    <row r="828">
      <c r="B828" s="88"/>
      <c r="C828" s="88"/>
      <c r="D828" s="89"/>
      <c r="E828" s="89"/>
      <c r="AG828" s="87"/>
      <c r="AH828" s="87"/>
      <c r="AI828" s="87"/>
      <c r="AK828" s="87"/>
    </row>
    <row r="829">
      <c r="B829" s="88"/>
      <c r="C829" s="88"/>
      <c r="D829" s="89"/>
      <c r="E829" s="89"/>
      <c r="AG829" s="87"/>
      <c r="AH829" s="87"/>
      <c r="AI829" s="87"/>
      <c r="AK829" s="87"/>
    </row>
    <row r="830">
      <c r="B830" s="88"/>
      <c r="C830" s="88"/>
      <c r="D830" s="89"/>
      <c r="E830" s="89"/>
      <c r="AG830" s="87"/>
      <c r="AH830" s="87"/>
      <c r="AI830" s="87"/>
      <c r="AK830" s="87"/>
    </row>
    <row r="831">
      <c r="B831" s="88"/>
      <c r="C831" s="88"/>
      <c r="D831" s="89"/>
      <c r="E831" s="89"/>
      <c r="AG831" s="87"/>
      <c r="AH831" s="87"/>
      <c r="AI831" s="87"/>
      <c r="AK831" s="87"/>
    </row>
    <row r="832">
      <c r="B832" s="88"/>
      <c r="C832" s="88"/>
      <c r="D832" s="89"/>
      <c r="E832" s="89"/>
      <c r="AG832" s="87"/>
      <c r="AH832" s="87"/>
      <c r="AI832" s="87"/>
      <c r="AK832" s="87"/>
    </row>
    <row r="833">
      <c r="B833" s="88"/>
      <c r="C833" s="88"/>
      <c r="D833" s="89"/>
      <c r="E833" s="89"/>
      <c r="AG833" s="87"/>
      <c r="AH833" s="87"/>
      <c r="AI833" s="87"/>
      <c r="AK833" s="87"/>
    </row>
    <row r="834">
      <c r="B834" s="88"/>
      <c r="C834" s="88"/>
      <c r="D834" s="89"/>
      <c r="E834" s="89"/>
      <c r="AG834" s="87"/>
      <c r="AH834" s="87"/>
      <c r="AI834" s="87"/>
      <c r="AK834" s="87"/>
    </row>
    <row r="835">
      <c r="B835" s="88"/>
      <c r="C835" s="88"/>
      <c r="D835" s="89"/>
      <c r="E835" s="89"/>
      <c r="AG835" s="87"/>
      <c r="AH835" s="87"/>
      <c r="AI835" s="87"/>
      <c r="AK835" s="87"/>
    </row>
    <row r="836">
      <c r="B836" s="88"/>
      <c r="C836" s="88"/>
      <c r="D836" s="89"/>
      <c r="E836" s="89"/>
      <c r="AG836" s="87"/>
      <c r="AH836" s="87"/>
      <c r="AI836" s="87"/>
      <c r="AK836" s="87"/>
    </row>
    <row r="837">
      <c r="B837" s="88"/>
      <c r="C837" s="88"/>
      <c r="D837" s="89"/>
      <c r="E837" s="89"/>
      <c r="AG837" s="87"/>
      <c r="AH837" s="87"/>
      <c r="AI837" s="87"/>
      <c r="AK837" s="87"/>
    </row>
    <row r="838">
      <c r="B838" s="88"/>
      <c r="C838" s="88"/>
      <c r="D838" s="89"/>
      <c r="E838" s="89"/>
      <c r="AG838" s="87"/>
      <c r="AH838" s="87"/>
      <c r="AI838" s="87"/>
      <c r="AK838" s="87"/>
    </row>
    <row r="839">
      <c r="B839" s="88"/>
      <c r="C839" s="88"/>
      <c r="D839" s="89"/>
      <c r="E839" s="89"/>
      <c r="AG839" s="87"/>
      <c r="AH839" s="87"/>
      <c r="AI839" s="87"/>
      <c r="AK839" s="87"/>
    </row>
    <row r="840">
      <c r="B840" s="88"/>
      <c r="C840" s="88"/>
      <c r="D840" s="89"/>
      <c r="E840" s="89"/>
      <c r="AG840" s="87"/>
      <c r="AH840" s="87"/>
      <c r="AI840" s="87"/>
      <c r="AK840" s="87"/>
    </row>
    <row r="841">
      <c r="B841" s="88"/>
      <c r="C841" s="88"/>
      <c r="D841" s="89"/>
      <c r="E841" s="89"/>
      <c r="AG841" s="87"/>
      <c r="AH841" s="87"/>
      <c r="AI841" s="87"/>
      <c r="AK841" s="87"/>
    </row>
    <row r="842">
      <c r="B842" s="88"/>
      <c r="C842" s="88"/>
      <c r="D842" s="89"/>
      <c r="E842" s="89"/>
      <c r="AG842" s="87"/>
      <c r="AH842" s="87"/>
      <c r="AI842" s="87"/>
      <c r="AK842" s="87"/>
    </row>
    <row r="843">
      <c r="B843" s="88"/>
      <c r="C843" s="88"/>
      <c r="D843" s="89"/>
      <c r="E843" s="89"/>
      <c r="AG843" s="87"/>
      <c r="AH843" s="87"/>
      <c r="AI843" s="87"/>
      <c r="AK843" s="87"/>
    </row>
    <row r="844">
      <c r="B844" s="88"/>
      <c r="C844" s="88"/>
      <c r="D844" s="89"/>
      <c r="E844" s="89"/>
      <c r="AG844" s="87"/>
      <c r="AH844" s="87"/>
      <c r="AI844" s="87"/>
      <c r="AK844" s="87"/>
    </row>
    <row r="845">
      <c r="B845" s="88"/>
      <c r="C845" s="88"/>
      <c r="D845" s="89"/>
      <c r="E845" s="89"/>
      <c r="AG845" s="87"/>
      <c r="AH845" s="87"/>
      <c r="AI845" s="87"/>
      <c r="AK845" s="87"/>
    </row>
    <row r="846">
      <c r="B846" s="88"/>
      <c r="C846" s="88"/>
      <c r="D846" s="89"/>
      <c r="E846" s="89"/>
      <c r="AG846" s="87"/>
      <c r="AH846" s="87"/>
      <c r="AI846" s="87"/>
      <c r="AK846" s="87"/>
    </row>
    <row r="847">
      <c r="B847" s="88"/>
      <c r="C847" s="88"/>
      <c r="D847" s="89"/>
      <c r="E847" s="89"/>
      <c r="AG847" s="87"/>
      <c r="AH847" s="87"/>
      <c r="AI847" s="87"/>
      <c r="AK847" s="87"/>
    </row>
    <row r="848">
      <c r="B848" s="88"/>
      <c r="C848" s="88"/>
      <c r="D848" s="89"/>
      <c r="E848" s="89"/>
      <c r="AG848" s="87"/>
      <c r="AH848" s="87"/>
      <c r="AI848" s="87"/>
      <c r="AK848" s="87"/>
    </row>
    <row r="849">
      <c r="B849" s="88"/>
      <c r="C849" s="88"/>
      <c r="D849" s="89"/>
      <c r="E849" s="89"/>
      <c r="AG849" s="87"/>
      <c r="AH849" s="87"/>
      <c r="AI849" s="87"/>
      <c r="AK849" s="87"/>
    </row>
    <row r="850">
      <c r="B850" s="88"/>
      <c r="C850" s="88"/>
      <c r="D850" s="89"/>
      <c r="E850" s="89"/>
      <c r="AG850" s="87"/>
      <c r="AH850" s="87"/>
      <c r="AI850" s="87"/>
      <c r="AK850" s="87"/>
    </row>
    <row r="851">
      <c r="B851" s="88"/>
      <c r="C851" s="88"/>
      <c r="D851" s="89"/>
      <c r="E851" s="89"/>
      <c r="AG851" s="87"/>
      <c r="AH851" s="87"/>
      <c r="AI851" s="87"/>
      <c r="AK851" s="87"/>
    </row>
    <row r="852">
      <c r="B852" s="88"/>
      <c r="C852" s="88"/>
      <c r="D852" s="89"/>
      <c r="E852" s="89"/>
      <c r="AG852" s="87"/>
      <c r="AH852" s="87"/>
      <c r="AI852" s="87"/>
      <c r="AK852" s="87"/>
    </row>
    <row r="853">
      <c r="B853" s="88"/>
      <c r="C853" s="88"/>
      <c r="D853" s="89"/>
      <c r="E853" s="89"/>
      <c r="AG853" s="87"/>
      <c r="AH853" s="87"/>
      <c r="AI853" s="87"/>
      <c r="AK853" s="87"/>
    </row>
    <row r="854">
      <c r="B854" s="88"/>
      <c r="C854" s="88"/>
      <c r="D854" s="89"/>
      <c r="E854" s="89"/>
      <c r="AG854" s="87"/>
      <c r="AH854" s="87"/>
      <c r="AI854" s="87"/>
      <c r="AK854" s="87"/>
    </row>
    <row r="855">
      <c r="B855" s="88"/>
      <c r="C855" s="88"/>
      <c r="D855" s="89"/>
      <c r="E855" s="89"/>
      <c r="AG855" s="87"/>
      <c r="AH855" s="87"/>
      <c r="AI855" s="87"/>
      <c r="AK855" s="87"/>
    </row>
    <row r="856">
      <c r="B856" s="88"/>
      <c r="C856" s="88"/>
      <c r="D856" s="89"/>
      <c r="E856" s="89"/>
      <c r="AG856" s="87"/>
      <c r="AH856" s="87"/>
      <c r="AI856" s="87"/>
      <c r="AK856" s="87"/>
    </row>
    <row r="857">
      <c r="B857" s="88"/>
      <c r="C857" s="88"/>
      <c r="D857" s="89"/>
      <c r="E857" s="89"/>
      <c r="AG857" s="87"/>
      <c r="AH857" s="87"/>
      <c r="AI857" s="87"/>
      <c r="AK857" s="87"/>
    </row>
    <row r="858">
      <c r="B858" s="88"/>
      <c r="C858" s="88"/>
      <c r="D858" s="89"/>
      <c r="E858" s="89"/>
      <c r="AG858" s="87"/>
      <c r="AH858" s="87"/>
      <c r="AI858" s="87"/>
      <c r="AK858" s="87"/>
    </row>
    <row r="859">
      <c r="B859" s="88"/>
      <c r="C859" s="88"/>
      <c r="D859" s="89"/>
      <c r="E859" s="89"/>
      <c r="AG859" s="87"/>
      <c r="AH859" s="87"/>
      <c r="AI859" s="87"/>
      <c r="AK859" s="87"/>
    </row>
    <row r="860">
      <c r="B860" s="88"/>
      <c r="C860" s="88"/>
      <c r="D860" s="89"/>
      <c r="E860" s="89"/>
      <c r="AG860" s="87"/>
      <c r="AH860" s="87"/>
      <c r="AI860" s="87"/>
      <c r="AK860" s="87"/>
    </row>
    <row r="861">
      <c r="B861" s="88"/>
      <c r="C861" s="88"/>
      <c r="D861" s="89"/>
      <c r="E861" s="89"/>
      <c r="AG861" s="87"/>
      <c r="AH861" s="87"/>
      <c r="AI861" s="87"/>
      <c r="AK861" s="87"/>
    </row>
    <row r="862">
      <c r="B862" s="88"/>
      <c r="C862" s="88"/>
      <c r="D862" s="89"/>
      <c r="E862" s="89"/>
      <c r="AG862" s="87"/>
      <c r="AH862" s="87"/>
      <c r="AI862" s="87"/>
      <c r="AK862" s="87"/>
    </row>
    <row r="863">
      <c r="B863" s="88"/>
      <c r="C863" s="88"/>
      <c r="D863" s="89"/>
      <c r="E863" s="89"/>
      <c r="AG863" s="87"/>
      <c r="AH863" s="87"/>
      <c r="AI863" s="87"/>
      <c r="AK863" s="87"/>
    </row>
    <row r="864">
      <c r="B864" s="88"/>
      <c r="C864" s="88"/>
      <c r="D864" s="89"/>
      <c r="E864" s="89"/>
      <c r="AG864" s="87"/>
      <c r="AH864" s="87"/>
      <c r="AI864" s="87"/>
      <c r="AK864" s="87"/>
    </row>
    <row r="865">
      <c r="B865" s="88"/>
      <c r="C865" s="88"/>
      <c r="D865" s="89"/>
      <c r="E865" s="89"/>
      <c r="AG865" s="87"/>
      <c r="AH865" s="87"/>
      <c r="AI865" s="87"/>
      <c r="AK865" s="87"/>
    </row>
    <row r="866">
      <c r="B866" s="88"/>
      <c r="C866" s="88"/>
      <c r="D866" s="89"/>
      <c r="E866" s="89"/>
      <c r="AG866" s="87"/>
      <c r="AH866" s="87"/>
      <c r="AI866" s="87"/>
      <c r="AK866" s="87"/>
    </row>
    <row r="867">
      <c r="B867" s="88"/>
      <c r="C867" s="88"/>
      <c r="D867" s="89"/>
      <c r="E867" s="89"/>
      <c r="AG867" s="87"/>
      <c r="AH867" s="87"/>
      <c r="AI867" s="87"/>
      <c r="AK867" s="87"/>
    </row>
    <row r="868">
      <c r="B868" s="88"/>
      <c r="C868" s="88"/>
      <c r="D868" s="89"/>
      <c r="E868" s="89"/>
      <c r="AG868" s="87"/>
      <c r="AH868" s="87"/>
      <c r="AI868" s="87"/>
      <c r="AK868" s="87"/>
    </row>
    <row r="869">
      <c r="B869" s="88"/>
      <c r="C869" s="88"/>
      <c r="D869" s="89"/>
      <c r="E869" s="89"/>
      <c r="AG869" s="87"/>
      <c r="AH869" s="87"/>
      <c r="AI869" s="87"/>
      <c r="AK869" s="87"/>
    </row>
    <row r="870">
      <c r="B870" s="88"/>
      <c r="C870" s="88"/>
      <c r="D870" s="89"/>
      <c r="E870" s="89"/>
      <c r="AG870" s="87"/>
      <c r="AH870" s="87"/>
      <c r="AI870" s="87"/>
      <c r="AK870" s="87"/>
    </row>
    <row r="871">
      <c r="B871" s="88"/>
      <c r="C871" s="88"/>
      <c r="D871" s="89"/>
      <c r="E871" s="89"/>
      <c r="AG871" s="87"/>
      <c r="AH871" s="87"/>
      <c r="AI871" s="87"/>
      <c r="AK871" s="87"/>
    </row>
    <row r="872">
      <c r="B872" s="88"/>
      <c r="C872" s="88"/>
      <c r="D872" s="89"/>
      <c r="E872" s="89"/>
      <c r="AG872" s="87"/>
      <c r="AH872" s="87"/>
      <c r="AI872" s="87"/>
      <c r="AK872" s="87"/>
    </row>
    <row r="873">
      <c r="B873" s="88"/>
      <c r="C873" s="88"/>
      <c r="D873" s="89"/>
      <c r="E873" s="89"/>
      <c r="AG873" s="87"/>
      <c r="AH873" s="87"/>
      <c r="AI873" s="87"/>
      <c r="AK873" s="87"/>
    </row>
    <row r="874">
      <c r="B874" s="88"/>
      <c r="C874" s="88"/>
      <c r="D874" s="89"/>
      <c r="E874" s="89"/>
      <c r="AG874" s="87"/>
      <c r="AH874" s="87"/>
      <c r="AI874" s="87"/>
      <c r="AK874" s="87"/>
    </row>
    <row r="875">
      <c r="B875" s="88"/>
      <c r="C875" s="88"/>
      <c r="D875" s="89"/>
      <c r="E875" s="89"/>
      <c r="AG875" s="87"/>
      <c r="AH875" s="87"/>
      <c r="AI875" s="87"/>
      <c r="AK875" s="87"/>
    </row>
    <row r="876">
      <c r="B876" s="88"/>
      <c r="C876" s="88"/>
      <c r="D876" s="89"/>
      <c r="E876" s="89"/>
      <c r="AG876" s="87"/>
      <c r="AH876" s="87"/>
      <c r="AI876" s="87"/>
      <c r="AK876" s="87"/>
    </row>
    <row r="877">
      <c r="B877" s="88"/>
      <c r="C877" s="88"/>
      <c r="D877" s="89"/>
      <c r="E877" s="89"/>
      <c r="AG877" s="87"/>
      <c r="AH877" s="87"/>
      <c r="AI877" s="87"/>
      <c r="AK877" s="87"/>
    </row>
    <row r="878">
      <c r="B878" s="88"/>
      <c r="C878" s="88"/>
      <c r="D878" s="89"/>
      <c r="E878" s="89"/>
      <c r="AG878" s="87"/>
      <c r="AH878" s="87"/>
      <c r="AI878" s="87"/>
      <c r="AK878" s="87"/>
    </row>
    <row r="879">
      <c r="B879" s="88"/>
      <c r="C879" s="88"/>
      <c r="D879" s="89"/>
      <c r="E879" s="89"/>
      <c r="AG879" s="87"/>
      <c r="AH879" s="87"/>
      <c r="AI879" s="87"/>
      <c r="AK879" s="87"/>
    </row>
    <row r="880">
      <c r="B880" s="88"/>
      <c r="C880" s="88"/>
      <c r="D880" s="89"/>
      <c r="E880" s="89"/>
      <c r="AG880" s="87"/>
      <c r="AH880" s="87"/>
      <c r="AI880" s="87"/>
      <c r="AK880" s="87"/>
    </row>
    <row r="881">
      <c r="B881" s="88"/>
      <c r="C881" s="88"/>
      <c r="D881" s="89"/>
      <c r="E881" s="89"/>
      <c r="AG881" s="87"/>
      <c r="AH881" s="87"/>
      <c r="AI881" s="87"/>
      <c r="AK881" s="87"/>
    </row>
    <row r="882">
      <c r="B882" s="88"/>
      <c r="C882" s="88"/>
      <c r="D882" s="89"/>
      <c r="E882" s="89"/>
      <c r="AG882" s="87"/>
      <c r="AH882" s="87"/>
      <c r="AI882" s="87"/>
      <c r="AK882" s="87"/>
    </row>
    <row r="883">
      <c r="B883" s="88"/>
      <c r="C883" s="88"/>
      <c r="D883" s="89"/>
      <c r="E883" s="89"/>
      <c r="AG883" s="87"/>
      <c r="AH883" s="87"/>
      <c r="AI883" s="87"/>
      <c r="AK883" s="87"/>
    </row>
    <row r="884">
      <c r="B884" s="88"/>
      <c r="C884" s="88"/>
      <c r="D884" s="89"/>
      <c r="E884" s="89"/>
      <c r="AG884" s="87"/>
      <c r="AH884" s="87"/>
      <c r="AI884" s="87"/>
      <c r="AK884" s="87"/>
    </row>
    <row r="885">
      <c r="B885" s="88"/>
      <c r="C885" s="88"/>
      <c r="D885" s="89"/>
      <c r="E885" s="89"/>
      <c r="AG885" s="87"/>
      <c r="AH885" s="87"/>
      <c r="AI885" s="87"/>
      <c r="AK885" s="87"/>
    </row>
    <row r="886">
      <c r="B886" s="88"/>
      <c r="C886" s="88"/>
      <c r="D886" s="89"/>
      <c r="E886" s="89"/>
      <c r="AG886" s="87"/>
      <c r="AH886" s="87"/>
      <c r="AI886" s="87"/>
      <c r="AK886" s="87"/>
    </row>
    <row r="887">
      <c r="B887" s="88"/>
      <c r="C887" s="88"/>
      <c r="D887" s="89"/>
      <c r="E887" s="89"/>
      <c r="AG887" s="87"/>
      <c r="AH887" s="87"/>
      <c r="AI887" s="87"/>
      <c r="AK887" s="87"/>
    </row>
    <row r="888">
      <c r="B888" s="88"/>
      <c r="C888" s="88"/>
      <c r="D888" s="89"/>
      <c r="E888" s="89"/>
      <c r="AG888" s="87"/>
      <c r="AH888" s="87"/>
      <c r="AI888" s="87"/>
      <c r="AK888" s="87"/>
    </row>
    <row r="889">
      <c r="B889" s="88"/>
      <c r="C889" s="88"/>
      <c r="D889" s="89"/>
      <c r="E889" s="89"/>
      <c r="AG889" s="87"/>
      <c r="AH889" s="87"/>
      <c r="AI889" s="87"/>
      <c r="AK889" s="87"/>
    </row>
    <row r="890">
      <c r="B890" s="88"/>
      <c r="C890" s="88"/>
      <c r="D890" s="89"/>
      <c r="E890" s="89"/>
      <c r="AG890" s="87"/>
      <c r="AH890" s="87"/>
      <c r="AI890" s="87"/>
      <c r="AK890" s="87"/>
    </row>
    <row r="891">
      <c r="B891" s="88"/>
      <c r="C891" s="88"/>
      <c r="D891" s="89"/>
      <c r="E891" s="89"/>
      <c r="AG891" s="87"/>
      <c r="AH891" s="87"/>
      <c r="AI891" s="87"/>
      <c r="AK891" s="87"/>
    </row>
    <row r="892">
      <c r="B892" s="88"/>
      <c r="C892" s="88"/>
      <c r="D892" s="89"/>
      <c r="E892" s="89"/>
      <c r="AG892" s="87"/>
      <c r="AH892" s="87"/>
      <c r="AI892" s="87"/>
      <c r="AK892" s="87"/>
    </row>
    <row r="893">
      <c r="B893" s="88"/>
      <c r="C893" s="88"/>
      <c r="D893" s="89"/>
      <c r="E893" s="89"/>
      <c r="AG893" s="87"/>
      <c r="AH893" s="87"/>
      <c r="AI893" s="87"/>
      <c r="AK893" s="87"/>
    </row>
    <row r="894">
      <c r="B894" s="88"/>
      <c r="C894" s="88"/>
      <c r="D894" s="89"/>
      <c r="E894" s="89"/>
      <c r="AG894" s="87"/>
      <c r="AH894" s="87"/>
      <c r="AI894" s="87"/>
      <c r="AK894" s="87"/>
    </row>
    <row r="895">
      <c r="B895" s="88"/>
      <c r="C895" s="88"/>
      <c r="D895" s="89"/>
      <c r="E895" s="89"/>
      <c r="AG895" s="87"/>
      <c r="AH895" s="87"/>
      <c r="AI895" s="87"/>
      <c r="AK895" s="87"/>
    </row>
    <row r="896">
      <c r="B896" s="88"/>
      <c r="C896" s="88"/>
      <c r="D896" s="89"/>
      <c r="E896" s="89"/>
      <c r="AG896" s="87"/>
      <c r="AH896" s="87"/>
      <c r="AI896" s="87"/>
      <c r="AK896" s="87"/>
    </row>
    <row r="897">
      <c r="B897" s="88"/>
      <c r="C897" s="88"/>
      <c r="D897" s="89"/>
      <c r="E897" s="89"/>
      <c r="AG897" s="87"/>
      <c r="AH897" s="87"/>
      <c r="AI897" s="87"/>
      <c r="AK897" s="87"/>
    </row>
    <row r="898">
      <c r="B898" s="88"/>
      <c r="C898" s="88"/>
      <c r="D898" s="89"/>
      <c r="E898" s="89"/>
      <c r="AG898" s="87"/>
      <c r="AH898" s="87"/>
      <c r="AI898" s="87"/>
      <c r="AK898" s="87"/>
    </row>
    <row r="899">
      <c r="B899" s="88"/>
      <c r="C899" s="88"/>
      <c r="D899" s="89"/>
      <c r="E899" s="89"/>
      <c r="AG899" s="87"/>
      <c r="AH899" s="87"/>
      <c r="AI899" s="87"/>
      <c r="AK899" s="87"/>
    </row>
    <row r="900">
      <c r="B900" s="88"/>
      <c r="C900" s="88"/>
      <c r="D900" s="89"/>
      <c r="E900" s="89"/>
      <c r="AG900" s="87"/>
      <c r="AH900" s="87"/>
      <c r="AI900" s="87"/>
      <c r="AK900" s="87"/>
    </row>
    <row r="901">
      <c r="B901" s="88"/>
      <c r="C901" s="88"/>
      <c r="D901" s="89"/>
      <c r="E901" s="89"/>
      <c r="AG901" s="87"/>
      <c r="AH901" s="87"/>
      <c r="AI901" s="87"/>
      <c r="AK901" s="87"/>
    </row>
    <row r="902">
      <c r="B902" s="88"/>
      <c r="C902" s="88"/>
      <c r="D902" s="89"/>
      <c r="E902" s="89"/>
      <c r="AG902" s="87"/>
      <c r="AH902" s="87"/>
      <c r="AI902" s="87"/>
      <c r="AK902" s="87"/>
    </row>
    <row r="903">
      <c r="B903" s="88"/>
      <c r="C903" s="88"/>
      <c r="D903" s="89"/>
      <c r="E903" s="89"/>
      <c r="AG903" s="87"/>
      <c r="AH903" s="87"/>
      <c r="AI903" s="87"/>
      <c r="AK903" s="87"/>
    </row>
    <row r="904">
      <c r="B904" s="88"/>
      <c r="C904" s="88"/>
      <c r="D904" s="89"/>
      <c r="E904" s="89"/>
      <c r="AG904" s="87"/>
      <c r="AH904" s="87"/>
      <c r="AI904" s="87"/>
      <c r="AK904" s="87"/>
    </row>
    <row r="905">
      <c r="B905" s="88"/>
      <c r="C905" s="88"/>
      <c r="D905" s="89"/>
      <c r="E905" s="89"/>
      <c r="AG905" s="87"/>
      <c r="AH905" s="87"/>
      <c r="AI905" s="87"/>
      <c r="AK905" s="87"/>
    </row>
    <row r="906">
      <c r="B906" s="88"/>
      <c r="C906" s="88"/>
      <c r="D906" s="89"/>
      <c r="E906" s="89"/>
      <c r="AG906" s="87"/>
      <c r="AH906" s="87"/>
      <c r="AI906" s="87"/>
      <c r="AK906" s="87"/>
    </row>
    <row r="907">
      <c r="B907" s="88"/>
      <c r="C907" s="88"/>
      <c r="D907" s="89"/>
      <c r="E907" s="89"/>
      <c r="AG907" s="87"/>
      <c r="AH907" s="87"/>
      <c r="AI907" s="87"/>
      <c r="AK907" s="87"/>
    </row>
    <row r="908">
      <c r="B908" s="88"/>
      <c r="C908" s="88"/>
      <c r="D908" s="89"/>
      <c r="E908" s="89"/>
      <c r="AG908" s="87"/>
      <c r="AH908" s="87"/>
      <c r="AI908" s="87"/>
      <c r="AK908" s="87"/>
    </row>
    <row r="909">
      <c r="B909" s="88"/>
      <c r="C909" s="88"/>
      <c r="D909" s="89"/>
      <c r="E909" s="89"/>
      <c r="AG909" s="87"/>
      <c r="AH909" s="87"/>
      <c r="AI909" s="87"/>
      <c r="AK909" s="87"/>
    </row>
    <row r="910">
      <c r="B910" s="88"/>
      <c r="C910" s="88"/>
      <c r="D910" s="89"/>
      <c r="E910" s="89"/>
      <c r="AG910" s="87"/>
      <c r="AH910" s="87"/>
      <c r="AI910" s="87"/>
      <c r="AK910" s="87"/>
    </row>
    <row r="911">
      <c r="B911" s="88"/>
      <c r="C911" s="88"/>
      <c r="D911" s="89"/>
      <c r="E911" s="89"/>
      <c r="AG911" s="87"/>
      <c r="AH911" s="87"/>
      <c r="AI911" s="87"/>
      <c r="AK911" s="87"/>
    </row>
    <row r="912">
      <c r="B912" s="88"/>
      <c r="C912" s="88"/>
      <c r="D912" s="89"/>
      <c r="E912" s="89"/>
      <c r="AG912" s="87"/>
      <c r="AH912" s="87"/>
      <c r="AI912" s="87"/>
      <c r="AK912" s="87"/>
    </row>
    <row r="913">
      <c r="B913" s="88"/>
      <c r="C913" s="88"/>
      <c r="D913" s="89"/>
      <c r="E913" s="89"/>
      <c r="AG913" s="87"/>
      <c r="AH913" s="87"/>
      <c r="AI913" s="87"/>
      <c r="AK913" s="87"/>
    </row>
    <row r="914">
      <c r="B914" s="88"/>
      <c r="C914" s="88"/>
      <c r="D914" s="89"/>
      <c r="E914" s="89"/>
      <c r="AG914" s="87"/>
      <c r="AH914" s="87"/>
      <c r="AI914" s="87"/>
      <c r="AK914" s="87"/>
    </row>
    <row r="915">
      <c r="B915" s="88"/>
      <c r="C915" s="88"/>
      <c r="D915" s="89"/>
      <c r="E915" s="89"/>
      <c r="AG915" s="87"/>
      <c r="AH915" s="87"/>
      <c r="AI915" s="87"/>
      <c r="AK915" s="87"/>
    </row>
    <row r="916">
      <c r="B916" s="88"/>
      <c r="C916" s="88"/>
      <c r="D916" s="89"/>
      <c r="E916" s="89"/>
      <c r="AG916" s="87"/>
      <c r="AH916" s="87"/>
      <c r="AI916" s="87"/>
      <c r="AK916" s="87"/>
    </row>
    <row r="917">
      <c r="B917" s="88"/>
      <c r="C917" s="88"/>
      <c r="D917" s="89"/>
      <c r="E917" s="89"/>
      <c r="AG917" s="87"/>
      <c r="AH917" s="87"/>
      <c r="AI917" s="87"/>
      <c r="AK917" s="87"/>
    </row>
    <row r="918">
      <c r="B918" s="88"/>
      <c r="C918" s="88"/>
      <c r="D918" s="89"/>
      <c r="E918" s="89"/>
      <c r="AG918" s="87"/>
      <c r="AH918" s="87"/>
      <c r="AI918" s="87"/>
      <c r="AK918" s="87"/>
    </row>
    <row r="919">
      <c r="B919" s="88"/>
      <c r="C919" s="88"/>
      <c r="D919" s="89"/>
      <c r="E919" s="89"/>
      <c r="AG919" s="87"/>
      <c r="AH919" s="87"/>
      <c r="AI919" s="87"/>
      <c r="AK919" s="87"/>
    </row>
    <row r="920">
      <c r="B920" s="88"/>
      <c r="C920" s="88"/>
      <c r="D920" s="89"/>
      <c r="E920" s="89"/>
      <c r="AG920" s="87"/>
      <c r="AH920" s="87"/>
      <c r="AI920" s="87"/>
      <c r="AK920" s="87"/>
    </row>
    <row r="921">
      <c r="B921" s="88"/>
      <c r="C921" s="88"/>
      <c r="D921" s="89"/>
      <c r="E921" s="89"/>
      <c r="AG921" s="87"/>
      <c r="AH921" s="87"/>
      <c r="AI921" s="87"/>
      <c r="AK921" s="87"/>
    </row>
    <row r="922">
      <c r="B922" s="88"/>
      <c r="C922" s="88"/>
      <c r="D922" s="89"/>
      <c r="E922" s="89"/>
      <c r="AG922" s="87"/>
      <c r="AH922" s="87"/>
      <c r="AI922" s="87"/>
      <c r="AK922" s="87"/>
    </row>
    <row r="923">
      <c r="B923" s="88"/>
      <c r="C923" s="88"/>
      <c r="D923" s="89"/>
      <c r="E923" s="89"/>
      <c r="AG923" s="87"/>
      <c r="AH923" s="87"/>
      <c r="AI923" s="87"/>
      <c r="AK923" s="87"/>
    </row>
    <row r="924">
      <c r="B924" s="88"/>
      <c r="C924" s="88"/>
      <c r="D924" s="89"/>
      <c r="E924" s="89"/>
      <c r="AG924" s="87"/>
      <c r="AH924" s="87"/>
      <c r="AI924" s="87"/>
      <c r="AK924" s="87"/>
    </row>
    <row r="925">
      <c r="B925" s="88"/>
      <c r="C925" s="88"/>
      <c r="D925" s="89"/>
      <c r="E925" s="89"/>
      <c r="AG925" s="87"/>
      <c r="AH925" s="87"/>
      <c r="AI925" s="87"/>
      <c r="AK925" s="87"/>
    </row>
    <row r="926">
      <c r="B926" s="88"/>
      <c r="C926" s="88"/>
      <c r="D926" s="89"/>
      <c r="E926" s="89"/>
      <c r="AG926" s="87"/>
      <c r="AH926" s="87"/>
      <c r="AI926" s="87"/>
      <c r="AK926" s="87"/>
    </row>
    <row r="927">
      <c r="B927" s="88"/>
      <c r="C927" s="88"/>
      <c r="D927" s="89"/>
      <c r="E927" s="89"/>
      <c r="AG927" s="87"/>
      <c r="AH927" s="87"/>
      <c r="AI927" s="87"/>
      <c r="AK927" s="87"/>
    </row>
    <row r="928">
      <c r="B928" s="88"/>
      <c r="C928" s="88"/>
      <c r="D928" s="89"/>
      <c r="E928" s="89"/>
      <c r="AG928" s="87"/>
      <c r="AH928" s="87"/>
      <c r="AI928" s="87"/>
      <c r="AK928" s="87"/>
    </row>
    <row r="929">
      <c r="B929" s="88"/>
      <c r="C929" s="88"/>
      <c r="D929" s="89"/>
      <c r="E929" s="89"/>
      <c r="AG929" s="87"/>
      <c r="AH929" s="87"/>
      <c r="AI929" s="87"/>
      <c r="AK929" s="87"/>
    </row>
    <row r="930">
      <c r="B930" s="88"/>
      <c r="C930" s="88"/>
      <c r="D930" s="89"/>
      <c r="E930" s="89"/>
      <c r="AG930" s="87"/>
      <c r="AH930" s="87"/>
      <c r="AI930" s="87"/>
      <c r="AK930" s="87"/>
    </row>
    <row r="931">
      <c r="B931" s="88"/>
      <c r="C931" s="88"/>
      <c r="D931" s="89"/>
      <c r="E931" s="89"/>
      <c r="AG931" s="87"/>
      <c r="AH931" s="87"/>
      <c r="AI931" s="87"/>
      <c r="AK931" s="87"/>
    </row>
    <row r="932">
      <c r="B932" s="88"/>
      <c r="C932" s="88"/>
      <c r="D932" s="89"/>
      <c r="E932" s="89"/>
      <c r="AG932" s="87"/>
      <c r="AH932" s="87"/>
      <c r="AI932" s="87"/>
      <c r="AK932" s="87"/>
    </row>
    <row r="933">
      <c r="B933" s="88"/>
      <c r="C933" s="88"/>
      <c r="D933" s="89"/>
      <c r="E933" s="89"/>
      <c r="AG933" s="87"/>
      <c r="AH933" s="87"/>
      <c r="AI933" s="87"/>
      <c r="AK933" s="87"/>
    </row>
    <row r="934">
      <c r="B934" s="88"/>
      <c r="C934" s="88"/>
      <c r="D934" s="89"/>
      <c r="E934" s="89"/>
      <c r="AG934" s="87"/>
      <c r="AH934" s="87"/>
      <c r="AI934" s="87"/>
      <c r="AK934" s="87"/>
    </row>
    <row r="935">
      <c r="B935" s="88"/>
      <c r="C935" s="88"/>
      <c r="D935" s="89"/>
      <c r="E935" s="89"/>
      <c r="AG935" s="87"/>
      <c r="AH935" s="87"/>
      <c r="AI935" s="87"/>
      <c r="AK935" s="87"/>
    </row>
    <row r="936">
      <c r="B936" s="88"/>
      <c r="C936" s="88"/>
      <c r="D936" s="89"/>
      <c r="E936" s="89"/>
      <c r="AG936" s="87"/>
      <c r="AH936" s="87"/>
      <c r="AI936" s="87"/>
      <c r="AK936" s="87"/>
    </row>
    <row r="937">
      <c r="B937" s="88"/>
      <c r="C937" s="88"/>
      <c r="D937" s="89"/>
      <c r="E937" s="89"/>
      <c r="AG937" s="87"/>
      <c r="AH937" s="87"/>
      <c r="AI937" s="87"/>
      <c r="AK937" s="87"/>
    </row>
    <row r="938">
      <c r="B938" s="88"/>
      <c r="C938" s="88"/>
      <c r="D938" s="89"/>
      <c r="E938" s="89"/>
      <c r="AG938" s="87"/>
      <c r="AH938" s="87"/>
      <c r="AI938" s="87"/>
      <c r="AK938" s="87"/>
    </row>
    <row r="939">
      <c r="B939" s="88"/>
      <c r="C939" s="88"/>
      <c r="D939" s="89"/>
      <c r="E939" s="89"/>
      <c r="AG939" s="87"/>
      <c r="AH939" s="87"/>
      <c r="AI939" s="87"/>
      <c r="AK939" s="87"/>
    </row>
    <row r="940">
      <c r="B940" s="88"/>
      <c r="C940" s="88"/>
      <c r="D940" s="89"/>
      <c r="E940" s="89"/>
      <c r="AG940" s="87"/>
      <c r="AH940" s="87"/>
      <c r="AI940" s="87"/>
      <c r="AK940" s="87"/>
    </row>
    <row r="941">
      <c r="B941" s="88"/>
      <c r="C941" s="88"/>
      <c r="D941" s="89"/>
      <c r="E941" s="89"/>
      <c r="AG941" s="87"/>
      <c r="AH941" s="87"/>
      <c r="AI941" s="87"/>
      <c r="AK941" s="87"/>
    </row>
    <row r="942">
      <c r="B942" s="88"/>
      <c r="C942" s="88"/>
      <c r="D942" s="89"/>
      <c r="E942" s="89"/>
      <c r="AG942" s="87"/>
      <c r="AH942" s="87"/>
      <c r="AI942" s="87"/>
      <c r="AK942" s="87"/>
    </row>
    <row r="943">
      <c r="B943" s="88"/>
      <c r="C943" s="88"/>
      <c r="D943" s="89"/>
      <c r="E943" s="89"/>
      <c r="AG943" s="87"/>
      <c r="AH943" s="87"/>
      <c r="AI943" s="87"/>
      <c r="AK943" s="87"/>
    </row>
    <row r="944">
      <c r="B944" s="88"/>
      <c r="C944" s="88"/>
      <c r="D944" s="89"/>
      <c r="E944" s="89"/>
      <c r="AG944" s="87"/>
      <c r="AH944" s="87"/>
      <c r="AI944" s="87"/>
      <c r="AK944" s="87"/>
    </row>
    <row r="945">
      <c r="B945" s="88"/>
      <c r="C945" s="88"/>
      <c r="D945" s="89"/>
      <c r="E945" s="89"/>
      <c r="AG945" s="87"/>
      <c r="AH945" s="87"/>
      <c r="AI945" s="87"/>
      <c r="AK945" s="87"/>
    </row>
    <row r="946">
      <c r="B946" s="88"/>
      <c r="C946" s="88"/>
      <c r="D946" s="89"/>
      <c r="E946" s="89"/>
      <c r="AG946" s="87"/>
      <c r="AH946" s="87"/>
      <c r="AI946" s="87"/>
      <c r="AK946" s="87"/>
    </row>
    <row r="947">
      <c r="B947" s="88"/>
      <c r="C947" s="88"/>
      <c r="D947" s="89"/>
      <c r="E947" s="89"/>
      <c r="AG947" s="87"/>
      <c r="AH947" s="87"/>
      <c r="AI947" s="87"/>
      <c r="AK947" s="87"/>
    </row>
    <row r="948">
      <c r="B948" s="88"/>
      <c r="C948" s="88"/>
      <c r="D948" s="89"/>
      <c r="E948" s="89"/>
      <c r="AG948" s="87"/>
      <c r="AH948" s="87"/>
      <c r="AI948" s="87"/>
      <c r="AK948" s="87"/>
    </row>
    <row r="949">
      <c r="B949" s="88"/>
      <c r="C949" s="88"/>
      <c r="D949" s="89"/>
      <c r="E949" s="89"/>
      <c r="AG949" s="87"/>
      <c r="AH949" s="87"/>
      <c r="AI949" s="87"/>
      <c r="AK949" s="87"/>
    </row>
    <row r="950">
      <c r="B950" s="88"/>
      <c r="C950" s="88"/>
      <c r="D950" s="89"/>
      <c r="E950" s="89"/>
      <c r="AG950" s="87"/>
      <c r="AH950" s="87"/>
      <c r="AI950" s="87"/>
      <c r="AK950" s="87"/>
    </row>
    <row r="951">
      <c r="B951" s="88"/>
      <c r="C951" s="88"/>
      <c r="D951" s="89"/>
      <c r="E951" s="89"/>
      <c r="AG951" s="87"/>
      <c r="AH951" s="87"/>
      <c r="AI951" s="87"/>
      <c r="AK951" s="87"/>
    </row>
    <row r="952">
      <c r="B952" s="88"/>
      <c r="C952" s="88"/>
      <c r="D952" s="89"/>
      <c r="E952" s="89"/>
      <c r="AG952" s="87"/>
      <c r="AH952" s="87"/>
      <c r="AI952" s="87"/>
      <c r="AK952" s="87"/>
    </row>
    <row r="953">
      <c r="B953" s="88"/>
      <c r="C953" s="88"/>
      <c r="D953" s="89"/>
      <c r="E953" s="89"/>
      <c r="AG953" s="87"/>
      <c r="AH953" s="87"/>
      <c r="AI953" s="87"/>
      <c r="AK953" s="87"/>
    </row>
    <row r="954">
      <c r="B954" s="88"/>
      <c r="C954" s="88"/>
      <c r="D954" s="89"/>
      <c r="E954" s="89"/>
      <c r="AG954" s="87"/>
      <c r="AH954" s="87"/>
      <c r="AI954" s="87"/>
      <c r="AK954" s="87"/>
    </row>
    <row r="955">
      <c r="B955" s="88"/>
      <c r="C955" s="88"/>
      <c r="D955" s="89"/>
      <c r="E955" s="89"/>
      <c r="AG955" s="87"/>
      <c r="AH955" s="87"/>
      <c r="AI955" s="87"/>
      <c r="AK955" s="87"/>
    </row>
    <row r="956">
      <c r="B956" s="88"/>
      <c r="C956" s="88"/>
      <c r="D956" s="89"/>
      <c r="E956" s="89"/>
      <c r="AG956" s="87"/>
      <c r="AH956" s="87"/>
      <c r="AI956" s="87"/>
      <c r="AK956" s="87"/>
    </row>
    <row r="957">
      <c r="B957" s="88"/>
      <c r="C957" s="88"/>
      <c r="D957" s="89"/>
      <c r="E957" s="89"/>
      <c r="AG957" s="87"/>
      <c r="AH957" s="87"/>
      <c r="AI957" s="87"/>
      <c r="AK957" s="87"/>
    </row>
    <row r="958">
      <c r="B958" s="88"/>
      <c r="C958" s="88"/>
      <c r="D958" s="89"/>
      <c r="E958" s="89"/>
      <c r="AG958" s="87"/>
      <c r="AH958" s="87"/>
      <c r="AI958" s="87"/>
      <c r="AK958" s="87"/>
    </row>
    <row r="959">
      <c r="B959" s="88"/>
      <c r="C959" s="88"/>
      <c r="D959" s="89"/>
      <c r="E959" s="89"/>
      <c r="AG959" s="87"/>
      <c r="AH959" s="87"/>
      <c r="AI959" s="87"/>
      <c r="AK959" s="87"/>
    </row>
    <row r="960">
      <c r="B960" s="88"/>
      <c r="C960" s="88"/>
      <c r="D960" s="89"/>
      <c r="E960" s="89"/>
      <c r="AG960" s="87"/>
      <c r="AH960" s="87"/>
      <c r="AI960" s="87"/>
      <c r="AK960" s="87"/>
    </row>
    <row r="961">
      <c r="B961" s="88"/>
      <c r="C961" s="88"/>
      <c r="D961" s="89"/>
      <c r="E961" s="89"/>
      <c r="AG961" s="87"/>
      <c r="AH961" s="87"/>
      <c r="AI961" s="87"/>
      <c r="AK961" s="87"/>
    </row>
    <row r="962">
      <c r="B962" s="88"/>
      <c r="C962" s="88"/>
      <c r="D962" s="89"/>
      <c r="E962" s="89"/>
      <c r="AG962" s="87"/>
      <c r="AH962" s="87"/>
      <c r="AI962" s="87"/>
      <c r="AK962" s="87"/>
    </row>
    <row r="963">
      <c r="B963" s="88"/>
      <c r="C963" s="88"/>
      <c r="D963" s="89"/>
      <c r="E963" s="89"/>
      <c r="AG963" s="87"/>
      <c r="AH963" s="87"/>
      <c r="AI963" s="87"/>
      <c r="AK963" s="87"/>
    </row>
    <row r="964">
      <c r="B964" s="88"/>
      <c r="C964" s="88"/>
      <c r="D964" s="89"/>
      <c r="E964" s="89"/>
      <c r="AG964" s="87"/>
      <c r="AH964" s="87"/>
      <c r="AI964" s="87"/>
      <c r="AK964" s="87"/>
    </row>
    <row r="965">
      <c r="B965" s="88"/>
      <c r="C965" s="88"/>
      <c r="D965" s="89"/>
      <c r="E965" s="89"/>
      <c r="AG965" s="87"/>
      <c r="AH965" s="87"/>
      <c r="AI965" s="87"/>
      <c r="AK965" s="87"/>
    </row>
    <row r="966">
      <c r="B966" s="88"/>
      <c r="C966" s="88"/>
      <c r="D966" s="89"/>
      <c r="E966" s="89"/>
      <c r="AG966" s="87"/>
      <c r="AH966" s="87"/>
      <c r="AI966" s="87"/>
      <c r="AK966" s="87"/>
    </row>
    <row r="967">
      <c r="B967" s="88"/>
      <c r="C967" s="88"/>
      <c r="D967" s="89"/>
      <c r="E967" s="89"/>
      <c r="AG967" s="87"/>
      <c r="AH967" s="87"/>
      <c r="AI967" s="87"/>
      <c r="AK967" s="87"/>
    </row>
    <row r="968">
      <c r="B968" s="88"/>
      <c r="C968" s="88"/>
      <c r="D968" s="89"/>
      <c r="E968" s="89"/>
      <c r="AG968" s="87"/>
      <c r="AH968" s="87"/>
      <c r="AI968" s="87"/>
      <c r="AK968" s="87"/>
    </row>
    <row r="969">
      <c r="B969" s="88"/>
      <c r="C969" s="88"/>
      <c r="D969" s="89"/>
      <c r="E969" s="89"/>
      <c r="AG969" s="87"/>
      <c r="AH969" s="87"/>
      <c r="AI969" s="87"/>
      <c r="AK969" s="87"/>
    </row>
    <row r="970">
      <c r="B970" s="88"/>
      <c r="C970" s="88"/>
      <c r="D970" s="89"/>
      <c r="E970" s="89"/>
      <c r="AG970" s="87"/>
      <c r="AH970" s="87"/>
      <c r="AI970" s="87"/>
      <c r="AK970" s="87"/>
    </row>
    <row r="971">
      <c r="B971" s="88"/>
      <c r="C971" s="88"/>
      <c r="D971" s="89"/>
      <c r="E971" s="89"/>
      <c r="AG971" s="87"/>
      <c r="AH971" s="87"/>
      <c r="AI971" s="87"/>
      <c r="AK971" s="87"/>
    </row>
    <row r="972">
      <c r="B972" s="88"/>
      <c r="C972" s="88"/>
      <c r="D972" s="89"/>
      <c r="E972" s="89"/>
      <c r="AG972" s="87"/>
      <c r="AH972" s="87"/>
      <c r="AI972" s="87"/>
      <c r="AK972" s="87"/>
    </row>
    <row r="973">
      <c r="B973" s="88"/>
      <c r="C973" s="88"/>
      <c r="D973" s="89"/>
      <c r="E973" s="89"/>
      <c r="AG973" s="87"/>
      <c r="AH973" s="87"/>
      <c r="AI973" s="87"/>
      <c r="AK973" s="87"/>
    </row>
    <row r="974">
      <c r="B974" s="88"/>
      <c r="C974" s="88"/>
      <c r="D974" s="89"/>
      <c r="E974" s="89"/>
      <c r="AG974" s="87"/>
      <c r="AH974" s="87"/>
      <c r="AI974" s="87"/>
      <c r="AK974" s="87"/>
    </row>
    <row r="975">
      <c r="B975" s="88"/>
      <c r="C975" s="88"/>
      <c r="D975" s="89"/>
      <c r="E975" s="89"/>
      <c r="AG975" s="87"/>
      <c r="AH975" s="87"/>
      <c r="AI975" s="87"/>
      <c r="AK975" s="87"/>
    </row>
    <row r="976">
      <c r="B976" s="88"/>
      <c r="C976" s="88"/>
      <c r="D976" s="89"/>
      <c r="E976" s="89"/>
      <c r="AG976" s="87"/>
      <c r="AH976" s="87"/>
      <c r="AI976" s="87"/>
      <c r="AK976" s="87"/>
    </row>
    <row r="977">
      <c r="B977" s="88"/>
      <c r="C977" s="88"/>
      <c r="D977" s="89"/>
      <c r="E977" s="89"/>
      <c r="AG977" s="87"/>
      <c r="AH977" s="87"/>
      <c r="AI977" s="87"/>
      <c r="AK977" s="87"/>
    </row>
    <row r="978">
      <c r="B978" s="88"/>
      <c r="C978" s="88"/>
      <c r="D978" s="89"/>
      <c r="E978" s="89"/>
      <c r="AG978" s="87"/>
      <c r="AH978" s="87"/>
      <c r="AI978" s="87"/>
      <c r="AK978" s="87"/>
    </row>
    <row r="979">
      <c r="B979" s="88"/>
      <c r="C979" s="88"/>
      <c r="D979" s="89"/>
      <c r="E979" s="89"/>
      <c r="AG979" s="87"/>
      <c r="AH979" s="87"/>
      <c r="AI979" s="87"/>
      <c r="AK979" s="87"/>
    </row>
    <row r="980">
      <c r="B980" s="88"/>
      <c r="C980" s="88"/>
      <c r="D980" s="89"/>
      <c r="E980" s="89"/>
      <c r="AG980" s="87"/>
      <c r="AH980" s="87"/>
      <c r="AI980" s="87"/>
      <c r="AK980" s="87"/>
    </row>
    <row r="981">
      <c r="B981" s="88"/>
      <c r="C981" s="88"/>
      <c r="D981" s="89"/>
      <c r="E981" s="89"/>
      <c r="AG981" s="87"/>
      <c r="AH981" s="87"/>
      <c r="AI981" s="87"/>
      <c r="AK981" s="87"/>
    </row>
    <row r="982">
      <c r="B982" s="88"/>
      <c r="C982" s="88"/>
      <c r="D982" s="89"/>
      <c r="E982" s="89"/>
      <c r="AG982" s="87"/>
      <c r="AH982" s="87"/>
      <c r="AI982" s="87"/>
      <c r="AK982" s="87"/>
    </row>
    <row r="983">
      <c r="B983" s="88"/>
      <c r="C983" s="88"/>
      <c r="D983" s="89"/>
      <c r="E983" s="89"/>
      <c r="AG983" s="87"/>
      <c r="AH983" s="87"/>
      <c r="AI983" s="87"/>
      <c r="AK983" s="87"/>
    </row>
    <row r="984">
      <c r="B984" s="88"/>
      <c r="C984" s="88"/>
      <c r="D984" s="89"/>
      <c r="E984" s="89"/>
      <c r="AG984" s="87"/>
      <c r="AH984" s="87"/>
      <c r="AI984" s="87"/>
      <c r="AK984" s="87"/>
    </row>
    <row r="985">
      <c r="B985" s="88"/>
      <c r="C985" s="88"/>
      <c r="D985" s="89"/>
      <c r="E985" s="89"/>
      <c r="AG985" s="87"/>
      <c r="AH985" s="87"/>
      <c r="AI985" s="87"/>
      <c r="AK985" s="87"/>
    </row>
    <row r="986">
      <c r="B986" s="88"/>
      <c r="C986" s="88"/>
      <c r="D986" s="89"/>
      <c r="E986" s="89"/>
      <c r="AG986" s="87"/>
      <c r="AH986" s="87"/>
      <c r="AI986" s="87"/>
      <c r="AK986" s="87"/>
    </row>
    <row r="987">
      <c r="B987" s="88"/>
      <c r="C987" s="88"/>
      <c r="D987" s="89"/>
      <c r="E987" s="89"/>
      <c r="AG987" s="87"/>
      <c r="AH987" s="87"/>
      <c r="AI987" s="87"/>
      <c r="AK987" s="87"/>
    </row>
    <row r="988">
      <c r="B988" s="88"/>
      <c r="C988" s="88"/>
      <c r="D988" s="89"/>
      <c r="E988" s="89"/>
      <c r="AG988" s="87"/>
      <c r="AH988" s="87"/>
      <c r="AI988" s="87"/>
      <c r="AK988" s="87"/>
    </row>
    <row r="989">
      <c r="B989" s="88"/>
      <c r="C989" s="88"/>
      <c r="D989" s="89"/>
      <c r="E989" s="89"/>
      <c r="AG989" s="87"/>
      <c r="AH989" s="87"/>
      <c r="AI989" s="87"/>
      <c r="AK989" s="87"/>
    </row>
    <row r="990">
      <c r="B990" s="88"/>
      <c r="C990" s="88"/>
      <c r="D990" s="89"/>
      <c r="E990" s="89"/>
      <c r="AG990" s="87"/>
      <c r="AH990" s="87"/>
      <c r="AI990" s="87"/>
      <c r="AK990" s="87"/>
    </row>
    <row r="991">
      <c r="B991" s="88"/>
      <c r="C991" s="88"/>
      <c r="D991" s="89"/>
      <c r="E991" s="89"/>
      <c r="AG991" s="87"/>
      <c r="AH991" s="87"/>
      <c r="AI991" s="87"/>
      <c r="AK991" s="87"/>
    </row>
    <row r="992">
      <c r="B992" s="88"/>
      <c r="C992" s="88"/>
      <c r="D992" s="89"/>
      <c r="E992" s="89"/>
      <c r="AG992" s="87"/>
      <c r="AH992" s="87"/>
      <c r="AI992" s="87"/>
      <c r="AK992" s="87"/>
    </row>
    <row r="993">
      <c r="B993" s="88"/>
      <c r="C993" s="88"/>
      <c r="D993" s="89"/>
      <c r="E993" s="89"/>
      <c r="AG993" s="87"/>
      <c r="AH993" s="87"/>
      <c r="AI993" s="87"/>
      <c r="AK993" s="87"/>
    </row>
    <row r="994">
      <c r="B994" s="88"/>
      <c r="C994" s="88"/>
      <c r="D994" s="89"/>
      <c r="E994" s="89"/>
      <c r="AG994" s="87"/>
      <c r="AH994" s="87"/>
      <c r="AI994" s="87"/>
      <c r="AK994" s="87"/>
    </row>
    <row r="995">
      <c r="B995" s="88"/>
      <c r="C995" s="88"/>
      <c r="D995" s="89"/>
      <c r="E995" s="89"/>
      <c r="AG995" s="87"/>
      <c r="AH995" s="87"/>
      <c r="AI995" s="87"/>
      <c r="AK995" s="87"/>
    </row>
    <row r="996">
      <c r="B996" s="88"/>
      <c r="C996" s="88"/>
      <c r="D996" s="89"/>
      <c r="E996" s="89"/>
      <c r="AG996" s="87"/>
      <c r="AH996" s="87"/>
      <c r="AI996" s="87"/>
      <c r="AK996" s="87"/>
    </row>
    <row r="997">
      <c r="B997" s="88"/>
      <c r="C997" s="88"/>
      <c r="D997" s="89"/>
      <c r="E997" s="89"/>
      <c r="AG997" s="87"/>
      <c r="AH997" s="87"/>
      <c r="AI997" s="87"/>
      <c r="AK997" s="87"/>
    </row>
    <row r="998">
      <c r="B998" s="88"/>
      <c r="C998" s="88"/>
      <c r="D998" s="89"/>
      <c r="E998" s="89"/>
      <c r="AG998" s="87"/>
      <c r="AH998" s="87"/>
      <c r="AI998" s="87"/>
      <c r="AK998" s="87"/>
    </row>
    <row r="999">
      <c r="B999" s="88"/>
      <c r="C999" s="88"/>
      <c r="D999" s="89"/>
      <c r="E999" s="89"/>
      <c r="AG999" s="87"/>
      <c r="AH999" s="87"/>
      <c r="AI999" s="87"/>
      <c r="AK999" s="87"/>
    </row>
    <row r="1000">
      <c r="B1000" s="88"/>
      <c r="C1000" s="88"/>
      <c r="D1000" s="89"/>
      <c r="E1000" s="89"/>
      <c r="AG1000" s="87"/>
      <c r="AH1000" s="87"/>
      <c r="AI1000" s="87"/>
      <c r="AK1000" s="87"/>
    </row>
  </sheetData>
  <mergeCells count="2">
    <mergeCell ref="A1:C1"/>
    <mergeCell ref="B3:E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7.0"/>
    <col customWidth="1" min="2" max="2" width="8.75"/>
    <col customWidth="1" min="3" max="4" width="8.38"/>
    <col customWidth="1" min="5" max="5" width="10.25"/>
  </cols>
  <sheetData>
    <row r="1">
      <c r="A1" s="6" t="s">
        <v>276</v>
      </c>
      <c r="D1" s="6"/>
      <c r="E1" s="6"/>
      <c r="AD1" s="87"/>
      <c r="AE1" s="87"/>
    </row>
    <row r="2">
      <c r="B2" s="88"/>
      <c r="C2" s="88"/>
      <c r="D2" s="89"/>
      <c r="E2" s="89"/>
      <c r="AD2" s="87"/>
      <c r="AE2" s="87"/>
    </row>
    <row r="3">
      <c r="B3" s="90" t="s">
        <v>285</v>
      </c>
      <c r="F3" s="4" t="s">
        <v>286</v>
      </c>
      <c r="N3" s="4" t="s">
        <v>287</v>
      </c>
      <c r="V3" s="4" t="s">
        <v>186</v>
      </c>
      <c r="AA3" s="4" t="s">
        <v>203</v>
      </c>
      <c r="AD3" s="87"/>
      <c r="AE3" s="87"/>
    </row>
    <row r="4">
      <c r="A4" s="4" t="s">
        <v>290</v>
      </c>
      <c r="B4" s="90" t="s">
        <v>291</v>
      </c>
      <c r="C4" s="90" t="s">
        <v>293</v>
      </c>
      <c r="D4" s="66" t="s">
        <v>295</v>
      </c>
      <c r="E4" s="66" t="s">
        <v>296</v>
      </c>
      <c r="F4" s="4" t="s">
        <v>297</v>
      </c>
      <c r="G4" s="4" t="s">
        <v>11</v>
      </c>
      <c r="H4" s="4" t="s">
        <v>157</v>
      </c>
      <c r="I4" s="4" t="s">
        <v>299</v>
      </c>
      <c r="J4" s="4" t="s">
        <v>300</v>
      </c>
      <c r="K4" s="4" t="s">
        <v>301</v>
      </c>
      <c r="L4" s="4" t="s">
        <v>302</v>
      </c>
      <c r="M4" s="4" t="s">
        <v>303</v>
      </c>
      <c r="N4" s="4" t="s">
        <v>305</v>
      </c>
      <c r="P4" s="4" t="s">
        <v>11</v>
      </c>
      <c r="Q4" s="4" t="s">
        <v>157</v>
      </c>
      <c r="R4" s="4" t="s">
        <v>162</v>
      </c>
      <c r="S4" s="4" t="s">
        <v>300</v>
      </c>
      <c r="T4" s="4" t="s">
        <v>301</v>
      </c>
      <c r="U4" s="4" t="s">
        <v>302</v>
      </c>
      <c r="V4" s="4" t="s">
        <v>313</v>
      </c>
      <c r="W4" s="4" t="s">
        <v>11</v>
      </c>
      <c r="X4" s="4" t="s">
        <v>317</v>
      </c>
      <c r="Y4" s="4" t="s">
        <v>299</v>
      </c>
      <c r="Z4" s="4" t="s">
        <v>300</v>
      </c>
      <c r="AA4" s="4" t="s">
        <v>293</v>
      </c>
      <c r="AB4" s="4" t="s">
        <v>11</v>
      </c>
      <c r="AC4" s="4" t="s">
        <v>157</v>
      </c>
      <c r="AD4" s="91" t="s">
        <v>299</v>
      </c>
      <c r="AE4" s="91" t="s">
        <v>300</v>
      </c>
      <c r="AF4" s="4" t="s">
        <v>301</v>
      </c>
      <c r="AG4" s="4" t="s">
        <v>302</v>
      </c>
    </row>
    <row r="5">
      <c r="A5" s="4">
        <v>1.0</v>
      </c>
      <c r="B5" s="92">
        <v>7.0</v>
      </c>
      <c r="C5" s="92">
        <v>100.0</v>
      </c>
      <c r="D5" s="66">
        <f>SUM(B$5)</f>
        <v>7</v>
      </c>
      <c r="E5" s="66">
        <f>sum(C5)</f>
        <v>100</v>
      </c>
      <c r="F5" s="94"/>
      <c r="G5" s="95">
        <v>1.016</v>
      </c>
      <c r="H5" s="96"/>
      <c r="I5" s="96"/>
      <c r="J5" s="96"/>
      <c r="K5" s="96"/>
      <c r="L5" s="96"/>
      <c r="M5" s="96"/>
      <c r="N5" s="96"/>
      <c r="O5" s="96"/>
      <c r="P5" s="95">
        <v>1.035</v>
      </c>
      <c r="Q5" s="96"/>
      <c r="R5" s="96"/>
      <c r="S5" s="96"/>
      <c r="T5" s="96"/>
      <c r="U5" s="96"/>
      <c r="V5" s="96"/>
      <c r="W5" s="95">
        <v>1.033</v>
      </c>
      <c r="X5" s="96"/>
      <c r="Y5" s="96"/>
      <c r="Z5" s="96"/>
      <c r="AA5" s="96"/>
      <c r="AB5" s="94"/>
      <c r="AC5" s="94"/>
      <c r="AD5" s="87"/>
      <c r="AE5" s="87"/>
    </row>
    <row r="6">
      <c r="A6" s="4">
        <v>2.0</v>
      </c>
      <c r="B6" s="92">
        <v>7.0</v>
      </c>
      <c r="C6" s="92">
        <v>100.0</v>
      </c>
      <c r="D6" s="66">
        <f t="shared" ref="D6:D163" si="1">SUM($B$5:B6)</f>
        <v>14</v>
      </c>
      <c r="E6" s="66">
        <f t="shared" ref="E6:E163" si="2">SUM($C$5:C6)</f>
        <v>200</v>
      </c>
      <c r="F6" s="96"/>
      <c r="G6" s="96"/>
      <c r="H6" s="96"/>
      <c r="I6" s="96"/>
      <c r="J6" s="96"/>
      <c r="K6" s="96"/>
      <c r="L6" s="96"/>
      <c r="M6" s="96"/>
      <c r="N6" s="96"/>
      <c r="O6" s="96"/>
      <c r="P6" s="96"/>
      <c r="Q6" s="96"/>
      <c r="R6" s="96"/>
      <c r="S6" s="96"/>
      <c r="T6" s="96"/>
      <c r="U6" s="96"/>
      <c r="V6" s="96"/>
      <c r="W6" s="96"/>
      <c r="X6" s="96"/>
      <c r="Y6" s="96"/>
      <c r="Z6" s="96"/>
      <c r="AA6" s="96"/>
      <c r="AB6" s="96"/>
      <c r="AC6" s="96"/>
      <c r="AD6" s="87"/>
      <c r="AE6" s="87"/>
    </row>
    <row r="7">
      <c r="A7" s="4">
        <v>3.0</v>
      </c>
      <c r="B7" s="92">
        <v>7.0</v>
      </c>
      <c r="C7" s="92">
        <v>100.0</v>
      </c>
      <c r="D7" s="66">
        <f t="shared" si="1"/>
        <v>21</v>
      </c>
      <c r="E7" s="66">
        <f t="shared" si="2"/>
        <v>300</v>
      </c>
      <c r="F7" s="96"/>
      <c r="G7" s="96"/>
      <c r="H7" s="96"/>
      <c r="I7" s="96"/>
      <c r="J7" s="96"/>
      <c r="K7" s="96"/>
      <c r="L7" s="96"/>
      <c r="M7" s="96"/>
      <c r="N7" s="96"/>
      <c r="O7" s="96"/>
      <c r="P7" s="96"/>
      <c r="Q7" s="96"/>
      <c r="R7" s="96"/>
      <c r="S7" s="96"/>
      <c r="T7" s="96"/>
      <c r="U7" s="96"/>
      <c r="V7" s="96"/>
      <c r="W7" s="96"/>
      <c r="X7" s="96"/>
      <c r="Y7" s="96"/>
      <c r="Z7" s="96"/>
      <c r="AA7" s="96"/>
      <c r="AB7" s="96"/>
      <c r="AC7" s="96"/>
      <c r="AD7" s="87"/>
      <c r="AE7" s="87"/>
    </row>
    <row r="8">
      <c r="A8" s="97">
        <f t="shared" ref="A8:A304" si="3">A7+1</f>
        <v>4</v>
      </c>
      <c r="B8" s="92">
        <v>7.0</v>
      </c>
      <c r="C8" s="92">
        <v>500.0</v>
      </c>
      <c r="D8" s="66">
        <f t="shared" si="1"/>
        <v>28</v>
      </c>
      <c r="E8" s="66">
        <f t="shared" si="2"/>
        <v>800</v>
      </c>
      <c r="F8" s="96"/>
      <c r="G8" s="96"/>
      <c r="H8" s="96"/>
      <c r="I8" s="96"/>
      <c r="J8" s="96"/>
      <c r="K8" s="96"/>
      <c r="L8" s="96"/>
      <c r="M8" s="96"/>
      <c r="N8" s="96"/>
      <c r="O8" s="96"/>
      <c r="P8" s="96"/>
      <c r="Q8" s="96"/>
      <c r="R8" s="96"/>
      <c r="S8" s="96"/>
      <c r="T8" s="96"/>
      <c r="U8" s="96"/>
      <c r="V8" s="96"/>
      <c r="W8" s="96"/>
      <c r="X8" s="96"/>
      <c r="Y8" s="96"/>
      <c r="Z8" s="96"/>
      <c r="AA8" s="96"/>
      <c r="AB8" s="96"/>
      <c r="AC8" s="96"/>
      <c r="AD8" s="87"/>
      <c r="AE8" s="87"/>
    </row>
    <row r="9">
      <c r="A9" s="97">
        <f t="shared" si="3"/>
        <v>5</v>
      </c>
      <c r="B9" s="92">
        <v>12.0</v>
      </c>
      <c r="C9" s="92">
        <v>500.0</v>
      </c>
      <c r="D9" s="66">
        <f t="shared" si="1"/>
        <v>40</v>
      </c>
      <c r="E9" s="66">
        <f t="shared" si="2"/>
        <v>1300</v>
      </c>
      <c r="F9" s="96"/>
      <c r="G9" s="96"/>
      <c r="H9" s="96"/>
      <c r="I9" s="96"/>
      <c r="J9" s="96"/>
      <c r="K9" s="96"/>
      <c r="L9" s="96"/>
      <c r="M9" s="96"/>
      <c r="N9" s="96"/>
      <c r="O9" s="96"/>
      <c r="P9" s="96"/>
      <c r="Q9" s="96"/>
      <c r="R9" s="96"/>
      <c r="S9" s="96"/>
      <c r="T9" s="96"/>
      <c r="U9" s="96"/>
      <c r="V9" s="96"/>
      <c r="W9" s="96"/>
      <c r="X9" s="96"/>
      <c r="Y9" s="96"/>
      <c r="Z9" s="96"/>
      <c r="AA9" s="96"/>
      <c r="AB9" s="96"/>
      <c r="AC9" s="96"/>
      <c r="AD9" s="87"/>
      <c r="AE9" s="87"/>
    </row>
    <row r="10">
      <c r="A10" s="97">
        <f t="shared" si="3"/>
        <v>6</v>
      </c>
      <c r="B10" s="92">
        <v>12.0</v>
      </c>
      <c r="C10" s="92">
        <v>500.0</v>
      </c>
      <c r="D10" s="66">
        <f t="shared" si="1"/>
        <v>52</v>
      </c>
      <c r="E10" s="66">
        <f t="shared" si="2"/>
        <v>1800</v>
      </c>
      <c r="F10" s="96"/>
      <c r="G10" s="96"/>
      <c r="H10" s="96"/>
      <c r="I10" s="96"/>
      <c r="J10" s="96"/>
      <c r="K10" s="96"/>
      <c r="L10" s="96"/>
      <c r="M10" s="96"/>
      <c r="N10" s="96"/>
      <c r="O10" s="96"/>
      <c r="P10" s="96"/>
      <c r="Q10" s="96"/>
      <c r="R10" s="96"/>
      <c r="S10" s="96"/>
      <c r="T10" s="96"/>
      <c r="U10" s="96"/>
      <c r="V10" s="96"/>
      <c r="W10" s="96"/>
      <c r="X10" s="96"/>
      <c r="Y10" s="96"/>
      <c r="Z10" s="96"/>
      <c r="AA10" s="96"/>
      <c r="AB10" s="96"/>
      <c r="AC10" s="96"/>
      <c r="AD10" s="87"/>
      <c r="AE10" s="87"/>
    </row>
    <row r="11">
      <c r="A11" s="97">
        <f t="shared" si="3"/>
        <v>7</v>
      </c>
      <c r="B11" s="92">
        <v>12.0</v>
      </c>
      <c r="C11" s="92">
        <v>500.0</v>
      </c>
      <c r="D11" s="66">
        <f t="shared" si="1"/>
        <v>64</v>
      </c>
      <c r="E11" s="66">
        <f t="shared" si="2"/>
        <v>2300</v>
      </c>
      <c r="F11" s="96"/>
      <c r="G11" s="96"/>
      <c r="H11" s="96"/>
      <c r="I11" s="96"/>
      <c r="J11" s="96"/>
      <c r="K11" s="96"/>
      <c r="L11" s="96"/>
      <c r="M11" s="96"/>
      <c r="N11" s="96"/>
      <c r="O11" s="96"/>
      <c r="P11" s="96"/>
      <c r="Q11" s="96"/>
      <c r="R11" s="96"/>
      <c r="S11" s="96"/>
      <c r="T11" s="96"/>
      <c r="U11" s="96"/>
      <c r="V11" s="96"/>
      <c r="W11" s="95">
        <v>1.089</v>
      </c>
      <c r="X11" s="96"/>
      <c r="Y11" s="96"/>
      <c r="Z11" s="96"/>
      <c r="AA11" s="96"/>
      <c r="AB11" s="96"/>
      <c r="AC11" s="96"/>
      <c r="AD11" s="87"/>
      <c r="AE11" s="87"/>
    </row>
    <row r="12">
      <c r="A12" s="97">
        <f t="shared" si="3"/>
        <v>8</v>
      </c>
      <c r="B12" s="92">
        <v>12.0</v>
      </c>
      <c r="C12" s="90">
        <v>500.0</v>
      </c>
      <c r="D12" s="66">
        <f t="shared" si="1"/>
        <v>76</v>
      </c>
      <c r="E12" s="66">
        <f t="shared" si="2"/>
        <v>2800</v>
      </c>
      <c r="F12" s="96"/>
      <c r="G12" s="96"/>
      <c r="H12" s="96"/>
      <c r="I12" s="96"/>
      <c r="J12" s="96"/>
      <c r="K12" s="96"/>
      <c r="L12" s="96"/>
      <c r="M12" s="96"/>
      <c r="N12" s="96"/>
      <c r="O12" s="96"/>
      <c r="P12" s="96"/>
      <c r="Q12" s="96"/>
      <c r="R12" s="96"/>
      <c r="S12" s="96"/>
      <c r="T12" s="96"/>
      <c r="U12" s="96"/>
      <c r="V12" s="96"/>
      <c r="W12" s="96"/>
      <c r="X12" s="96"/>
      <c r="Y12" s="96"/>
      <c r="Z12" s="96"/>
      <c r="AA12" s="96"/>
      <c r="AB12" s="96"/>
      <c r="AC12" s="96"/>
      <c r="AD12" s="87"/>
      <c r="AE12" s="87"/>
    </row>
    <row r="13">
      <c r="A13" s="97">
        <f t="shared" si="3"/>
        <v>9</v>
      </c>
      <c r="B13" s="92">
        <v>12.0</v>
      </c>
      <c r="C13" s="90"/>
      <c r="D13" s="66">
        <f t="shared" si="1"/>
        <v>88</v>
      </c>
      <c r="E13" s="66">
        <f t="shared" si="2"/>
        <v>2800</v>
      </c>
      <c r="F13" s="96"/>
      <c r="G13" s="96"/>
      <c r="H13" s="96"/>
      <c r="I13" s="96"/>
      <c r="J13" s="96"/>
      <c r="K13" s="96"/>
      <c r="L13" s="96"/>
      <c r="M13" s="96"/>
      <c r="N13" s="96"/>
      <c r="O13" s="96"/>
      <c r="P13" s="96"/>
      <c r="Q13" s="96"/>
      <c r="R13" s="96"/>
      <c r="S13" s="96"/>
      <c r="T13" s="96"/>
      <c r="U13" s="96"/>
      <c r="V13" s="96"/>
      <c r="W13" s="96"/>
      <c r="X13" s="96"/>
      <c r="Y13" s="96"/>
      <c r="Z13" s="96"/>
      <c r="AA13" s="96"/>
      <c r="AB13" s="96"/>
      <c r="AC13" s="96"/>
      <c r="AD13" s="87"/>
      <c r="AE13" s="87"/>
    </row>
    <row r="14">
      <c r="A14" s="97">
        <f t="shared" si="3"/>
        <v>10</v>
      </c>
      <c r="B14" s="92">
        <v>20.0</v>
      </c>
      <c r="C14" s="90"/>
      <c r="D14" s="66">
        <f t="shared" si="1"/>
        <v>108</v>
      </c>
      <c r="E14" s="66">
        <f t="shared" si="2"/>
        <v>2800</v>
      </c>
      <c r="F14" s="96"/>
      <c r="G14" s="96"/>
      <c r="H14" s="96"/>
      <c r="I14" s="96"/>
      <c r="J14" s="96"/>
      <c r="K14" s="96"/>
      <c r="L14" s="96"/>
      <c r="M14" s="96"/>
      <c r="N14" s="96"/>
      <c r="O14" s="96"/>
      <c r="P14" s="96"/>
      <c r="Q14" s="96"/>
      <c r="R14" s="96"/>
      <c r="S14" s="96"/>
      <c r="T14" s="96"/>
      <c r="U14" s="96"/>
      <c r="V14" s="96"/>
      <c r="W14" s="96"/>
      <c r="X14" s="96"/>
      <c r="Y14" s="96"/>
      <c r="Z14" s="96"/>
      <c r="AA14" s="96"/>
      <c r="AB14" s="96"/>
      <c r="AC14" s="96"/>
      <c r="AD14" s="87"/>
      <c r="AE14" s="87"/>
    </row>
    <row r="15">
      <c r="A15" s="97">
        <f t="shared" si="3"/>
        <v>11</v>
      </c>
      <c r="B15" s="92">
        <v>20.0</v>
      </c>
      <c r="C15" s="90"/>
      <c r="D15" s="66">
        <f t="shared" si="1"/>
        <v>128</v>
      </c>
      <c r="E15" s="66">
        <f t="shared" si="2"/>
        <v>2800</v>
      </c>
      <c r="F15" s="94"/>
      <c r="G15" s="94"/>
      <c r="H15" s="96"/>
      <c r="I15" s="96"/>
      <c r="J15" s="96"/>
      <c r="K15" s="96"/>
      <c r="L15" s="96"/>
      <c r="M15" s="96"/>
      <c r="N15" s="96"/>
      <c r="O15" s="96"/>
      <c r="P15" s="96"/>
      <c r="Q15" s="96"/>
      <c r="R15" s="96"/>
      <c r="S15" s="96"/>
      <c r="T15" s="96"/>
      <c r="U15" s="96"/>
      <c r="V15" s="96"/>
      <c r="W15" s="96"/>
      <c r="X15" s="96"/>
      <c r="Y15" s="96"/>
      <c r="Z15" s="96"/>
      <c r="AA15" s="96"/>
      <c r="AB15" s="96"/>
      <c r="AC15" s="96"/>
      <c r="AD15" s="87"/>
      <c r="AE15" s="87"/>
    </row>
    <row r="16">
      <c r="A16" s="97">
        <f t="shared" si="3"/>
        <v>12</v>
      </c>
      <c r="B16" s="92">
        <v>20.0</v>
      </c>
      <c r="C16" s="90"/>
      <c r="D16" s="66">
        <f t="shared" si="1"/>
        <v>148</v>
      </c>
      <c r="E16" s="66">
        <f t="shared" si="2"/>
        <v>2800</v>
      </c>
      <c r="F16" s="96"/>
      <c r="G16" s="96"/>
      <c r="H16" s="96"/>
      <c r="I16" s="96"/>
      <c r="J16" s="96"/>
      <c r="K16" s="96"/>
      <c r="L16" s="96"/>
      <c r="M16" s="96"/>
      <c r="N16" s="96"/>
      <c r="O16" s="96"/>
      <c r="P16" s="96"/>
      <c r="Q16" s="96"/>
      <c r="R16" s="96"/>
      <c r="S16" s="96"/>
      <c r="T16" s="96"/>
      <c r="U16" s="96"/>
      <c r="V16" s="96"/>
      <c r="W16" s="96"/>
      <c r="X16" s="96"/>
      <c r="Y16" s="96"/>
      <c r="Z16" s="96"/>
      <c r="AA16" s="96"/>
      <c r="AB16" s="96"/>
      <c r="AC16" s="96"/>
      <c r="AD16" s="87"/>
      <c r="AE16" s="87"/>
    </row>
    <row r="17">
      <c r="A17" s="97">
        <f t="shared" si="3"/>
        <v>13</v>
      </c>
      <c r="B17" s="92">
        <v>20.0</v>
      </c>
      <c r="C17" s="90"/>
      <c r="D17" s="66">
        <f t="shared" si="1"/>
        <v>168</v>
      </c>
      <c r="E17" s="66">
        <f t="shared" si="2"/>
        <v>2800</v>
      </c>
      <c r="F17" s="94">
        <f>G17-G15</f>
        <v>0</v>
      </c>
      <c r="G17" s="94"/>
      <c r="H17" s="96"/>
      <c r="I17" s="96"/>
      <c r="J17" s="96"/>
      <c r="K17" s="96"/>
      <c r="L17" s="96"/>
      <c r="M17" s="96"/>
      <c r="N17" s="96"/>
      <c r="O17" s="96"/>
      <c r="P17" s="96"/>
      <c r="Q17" s="96"/>
      <c r="R17" s="96"/>
      <c r="S17" s="96"/>
      <c r="T17" s="96"/>
      <c r="U17" s="96"/>
      <c r="V17" s="96"/>
      <c r="W17" s="96"/>
      <c r="X17" s="96"/>
      <c r="Y17" s="96"/>
      <c r="Z17" s="96"/>
      <c r="AA17" s="96"/>
      <c r="AB17" s="96"/>
      <c r="AC17" s="96"/>
      <c r="AD17" s="87"/>
      <c r="AE17" s="87"/>
    </row>
    <row r="18">
      <c r="A18" s="97">
        <f t="shared" si="3"/>
        <v>14</v>
      </c>
      <c r="B18" s="92">
        <v>20.0</v>
      </c>
      <c r="C18" s="92">
        <v>2500.0</v>
      </c>
      <c r="D18" s="66">
        <f t="shared" si="1"/>
        <v>188</v>
      </c>
      <c r="E18" s="66">
        <f t="shared" si="2"/>
        <v>5300</v>
      </c>
      <c r="F18" s="96"/>
      <c r="G18" s="96"/>
      <c r="H18" s="96"/>
      <c r="I18" s="96"/>
      <c r="J18" s="96"/>
      <c r="K18" s="96"/>
      <c r="L18" s="96"/>
      <c r="M18" s="96"/>
      <c r="N18" s="96"/>
      <c r="O18" s="96"/>
      <c r="P18" s="94"/>
      <c r="Q18" s="96"/>
      <c r="R18" s="96"/>
      <c r="S18" s="96"/>
      <c r="T18" s="96"/>
      <c r="U18" s="96"/>
      <c r="V18" s="96"/>
      <c r="W18" s="96"/>
      <c r="X18" s="96"/>
      <c r="Y18" s="96"/>
      <c r="Z18" s="96"/>
      <c r="AA18" s="96"/>
      <c r="AB18" s="96"/>
      <c r="AC18" s="96"/>
      <c r="AD18" s="87"/>
      <c r="AE18" s="87"/>
    </row>
    <row r="19">
      <c r="A19" s="97">
        <f t="shared" si="3"/>
        <v>15</v>
      </c>
      <c r="B19" s="92">
        <v>25.0</v>
      </c>
      <c r="C19" s="92">
        <v>2500.0</v>
      </c>
      <c r="D19" s="66">
        <f t="shared" si="1"/>
        <v>213</v>
      </c>
      <c r="E19" s="66">
        <f t="shared" si="2"/>
        <v>7800</v>
      </c>
      <c r="F19" s="94">
        <f>G19-G17</f>
        <v>0</v>
      </c>
      <c r="G19" s="94"/>
      <c r="H19" s="96"/>
      <c r="I19" s="96"/>
      <c r="J19" s="96"/>
      <c r="K19" s="96"/>
      <c r="L19" s="96"/>
      <c r="M19" s="96"/>
      <c r="N19" s="96"/>
      <c r="O19" s="96"/>
      <c r="P19" s="96"/>
      <c r="Q19" s="96"/>
      <c r="R19" s="96"/>
      <c r="S19" s="96"/>
      <c r="T19" s="96"/>
      <c r="U19" s="96"/>
      <c r="V19" s="96"/>
      <c r="W19" s="96"/>
      <c r="X19" s="96"/>
      <c r="Y19" s="96"/>
      <c r="Z19" s="96"/>
      <c r="AA19" s="96"/>
      <c r="AB19" s="96"/>
      <c r="AC19" s="96"/>
      <c r="AD19" s="87"/>
      <c r="AE19" s="87"/>
    </row>
    <row r="20">
      <c r="A20" s="97">
        <f t="shared" si="3"/>
        <v>16</v>
      </c>
      <c r="B20" s="92">
        <v>25.0</v>
      </c>
      <c r="C20" s="92">
        <v>2500.0</v>
      </c>
      <c r="D20" s="66">
        <f t="shared" si="1"/>
        <v>238</v>
      </c>
      <c r="E20" s="66">
        <f t="shared" si="2"/>
        <v>10300</v>
      </c>
      <c r="F20" s="96"/>
      <c r="G20" s="96"/>
      <c r="H20" s="96"/>
      <c r="I20" s="96"/>
      <c r="J20" s="96"/>
      <c r="K20" s="96"/>
      <c r="L20" s="96"/>
      <c r="M20" s="96"/>
      <c r="N20" s="96"/>
      <c r="O20" s="96"/>
      <c r="P20" s="96"/>
      <c r="Q20" s="96"/>
      <c r="R20" s="96"/>
      <c r="S20" s="96"/>
      <c r="T20" s="96"/>
      <c r="U20" s="96"/>
      <c r="V20" s="96"/>
      <c r="W20" s="96"/>
      <c r="X20" s="96"/>
      <c r="Y20" s="96"/>
      <c r="Z20" s="96"/>
      <c r="AA20" s="96"/>
      <c r="AB20" s="96"/>
      <c r="AC20" s="96"/>
      <c r="AD20" s="87"/>
      <c r="AE20" s="87"/>
    </row>
    <row r="21">
      <c r="A21" s="97">
        <f t="shared" si="3"/>
        <v>17</v>
      </c>
      <c r="B21" s="92">
        <v>25.0</v>
      </c>
      <c r="C21" s="92">
        <v>2500.0</v>
      </c>
      <c r="D21" s="66">
        <f t="shared" si="1"/>
        <v>263</v>
      </c>
      <c r="E21" s="66">
        <f t="shared" si="2"/>
        <v>12800</v>
      </c>
      <c r="F21" s="96"/>
      <c r="G21" s="96"/>
      <c r="H21" s="96"/>
      <c r="I21" s="96"/>
      <c r="J21" s="96"/>
      <c r="K21" s="96"/>
      <c r="L21" s="96"/>
      <c r="M21" s="96"/>
      <c r="N21" s="96"/>
      <c r="O21" s="96"/>
      <c r="P21" s="96"/>
      <c r="Q21" s="96"/>
      <c r="R21" s="96"/>
      <c r="S21" s="96"/>
      <c r="T21" s="96"/>
      <c r="U21" s="96"/>
      <c r="V21" s="96"/>
      <c r="W21" s="96"/>
      <c r="X21" s="96"/>
      <c r="Y21" s="96"/>
      <c r="Z21" s="96"/>
      <c r="AA21" s="96"/>
      <c r="AB21" s="96"/>
      <c r="AC21" s="96"/>
      <c r="AD21" s="87"/>
      <c r="AE21" s="87"/>
    </row>
    <row r="22">
      <c r="A22" s="97">
        <f t="shared" si="3"/>
        <v>18</v>
      </c>
      <c r="B22" s="92">
        <v>25.0</v>
      </c>
      <c r="C22" s="92">
        <v>2500.0</v>
      </c>
      <c r="D22" s="66">
        <f t="shared" si="1"/>
        <v>288</v>
      </c>
      <c r="E22" s="66">
        <f t="shared" si="2"/>
        <v>15300</v>
      </c>
      <c r="F22" s="96"/>
      <c r="G22" s="96"/>
      <c r="H22" s="96"/>
      <c r="I22" s="96"/>
      <c r="J22" s="96"/>
      <c r="K22" s="96"/>
      <c r="L22" s="96"/>
      <c r="M22" s="96"/>
      <c r="N22" s="96"/>
      <c r="O22" s="96"/>
      <c r="P22" s="96"/>
      <c r="Q22" s="96"/>
      <c r="R22" s="96"/>
      <c r="S22" s="96"/>
      <c r="T22" s="96"/>
      <c r="U22" s="96"/>
      <c r="V22" s="96"/>
      <c r="W22" s="96"/>
      <c r="X22" s="96"/>
      <c r="Y22" s="96"/>
      <c r="Z22" s="96"/>
      <c r="AA22" s="96"/>
      <c r="AB22" s="96"/>
      <c r="AC22" s="96"/>
      <c r="AD22" s="87"/>
      <c r="AE22" s="87"/>
    </row>
    <row r="23">
      <c r="A23" s="97">
        <f t="shared" si="3"/>
        <v>19</v>
      </c>
      <c r="B23" s="92">
        <v>25.0</v>
      </c>
      <c r="C23" s="92">
        <v>5500.0</v>
      </c>
      <c r="D23" s="66">
        <f t="shared" si="1"/>
        <v>313</v>
      </c>
      <c r="E23" s="66">
        <f t="shared" si="2"/>
        <v>20800</v>
      </c>
      <c r="F23" s="96"/>
      <c r="G23" s="96"/>
      <c r="H23" s="96"/>
      <c r="I23" s="96"/>
      <c r="J23" s="96"/>
      <c r="K23" s="96"/>
      <c r="L23" s="96"/>
      <c r="M23" s="96"/>
      <c r="N23" s="96"/>
      <c r="O23" s="96"/>
      <c r="P23" s="96"/>
      <c r="Q23" s="96"/>
      <c r="R23" s="96"/>
      <c r="S23" s="96"/>
      <c r="T23" s="96"/>
      <c r="U23" s="96"/>
      <c r="V23" s="96"/>
      <c r="W23" s="96"/>
      <c r="X23" s="96"/>
      <c r="Y23" s="96"/>
      <c r="Z23" s="96"/>
      <c r="AA23" s="96">
        <f t="shared" ref="AA23:AA65" si="4">AB23-AB22</f>
        <v>0</v>
      </c>
      <c r="AB23" s="96"/>
      <c r="AC23" s="96"/>
      <c r="AD23" s="87"/>
      <c r="AE23" s="87"/>
    </row>
    <row r="24">
      <c r="A24" s="97">
        <f t="shared" si="3"/>
        <v>20</v>
      </c>
      <c r="B24" s="92">
        <v>40.0</v>
      </c>
      <c r="C24" s="92">
        <v>5500.0</v>
      </c>
      <c r="D24" s="66">
        <f t="shared" si="1"/>
        <v>353</v>
      </c>
      <c r="E24" s="66">
        <f t="shared" si="2"/>
        <v>26300</v>
      </c>
      <c r="F24" s="96"/>
      <c r="G24" s="96"/>
      <c r="H24" s="96"/>
      <c r="I24" s="96"/>
      <c r="J24" s="96"/>
      <c r="K24" s="96"/>
      <c r="L24" s="96"/>
      <c r="M24" s="96"/>
      <c r="N24" s="96"/>
      <c r="O24" s="96"/>
      <c r="P24" s="96"/>
      <c r="Q24" s="96"/>
      <c r="R24" s="96"/>
      <c r="S24" s="96"/>
      <c r="T24" s="96"/>
      <c r="U24" s="96"/>
      <c r="V24" s="96"/>
      <c r="W24" s="96"/>
      <c r="X24" s="96"/>
      <c r="Y24" s="96"/>
      <c r="Z24" s="96"/>
      <c r="AA24" s="96">
        <f t="shared" si="4"/>
        <v>0</v>
      </c>
      <c r="AB24" s="96"/>
      <c r="AC24" s="96"/>
      <c r="AD24" s="87"/>
      <c r="AE24" s="87"/>
    </row>
    <row r="25">
      <c r="A25" s="97">
        <f t="shared" si="3"/>
        <v>21</v>
      </c>
      <c r="B25" s="92">
        <v>40.0</v>
      </c>
      <c r="C25" s="92">
        <v>5500.0</v>
      </c>
      <c r="D25" s="66">
        <f t="shared" si="1"/>
        <v>393</v>
      </c>
      <c r="E25" s="66">
        <f t="shared" si="2"/>
        <v>31800</v>
      </c>
      <c r="F25" s="98"/>
      <c r="G25" s="95">
        <v>1.714</v>
      </c>
      <c r="H25" s="95">
        <v>1.72</v>
      </c>
      <c r="I25" s="96"/>
      <c r="J25" s="96"/>
      <c r="K25" s="96"/>
      <c r="L25" s="96"/>
      <c r="M25" s="96"/>
      <c r="N25" s="96"/>
      <c r="O25" s="96"/>
      <c r="P25" s="96"/>
      <c r="Q25" s="96"/>
      <c r="R25" s="96"/>
      <c r="S25" s="96"/>
      <c r="T25" s="96"/>
      <c r="U25" s="96"/>
      <c r="V25" s="96"/>
      <c r="W25" s="95">
        <v>1.47</v>
      </c>
      <c r="X25" s="96"/>
      <c r="Y25" s="96"/>
      <c r="Z25" s="96"/>
      <c r="AA25" s="96">
        <f t="shared" si="4"/>
        <v>0</v>
      </c>
      <c r="AB25" s="96"/>
      <c r="AC25" s="96"/>
      <c r="AD25" s="87"/>
      <c r="AE25" s="87"/>
    </row>
    <row r="26">
      <c r="A26" s="97">
        <f t="shared" si="3"/>
        <v>22</v>
      </c>
      <c r="B26" s="92">
        <v>40.0</v>
      </c>
      <c r="C26" s="92">
        <v>5500.0</v>
      </c>
      <c r="D26" s="66">
        <f t="shared" si="1"/>
        <v>433</v>
      </c>
      <c r="E26" s="66">
        <f t="shared" si="2"/>
        <v>37300</v>
      </c>
      <c r="F26" s="96">
        <f>H26-H25</f>
        <v>0.042</v>
      </c>
      <c r="G26" s="96"/>
      <c r="H26" s="95">
        <v>1.762</v>
      </c>
      <c r="I26" s="96"/>
      <c r="J26" s="96"/>
      <c r="K26" s="96"/>
      <c r="L26" s="96"/>
      <c r="M26" s="96"/>
      <c r="N26" s="96"/>
      <c r="O26" s="96"/>
      <c r="P26" s="96"/>
      <c r="Q26" s="96"/>
      <c r="R26" s="96"/>
      <c r="S26" s="96"/>
      <c r="T26" s="96"/>
      <c r="U26" s="96"/>
      <c r="V26" s="96"/>
      <c r="W26" s="96"/>
      <c r="X26" s="96"/>
      <c r="Y26" s="96"/>
      <c r="Z26" s="96"/>
      <c r="AA26" s="96">
        <f t="shared" si="4"/>
        <v>0</v>
      </c>
      <c r="AB26" s="96"/>
      <c r="AC26" s="96"/>
      <c r="AD26" s="87"/>
      <c r="AE26" s="87"/>
    </row>
    <row r="27">
      <c r="A27" s="97">
        <f t="shared" si="3"/>
        <v>23</v>
      </c>
      <c r="B27" s="92">
        <v>40.0</v>
      </c>
      <c r="C27" s="90">
        <v>5500.0</v>
      </c>
      <c r="D27" s="66">
        <f t="shared" si="1"/>
        <v>473</v>
      </c>
      <c r="E27" s="66">
        <f t="shared" si="2"/>
        <v>42800</v>
      </c>
      <c r="F27" s="96"/>
      <c r="G27" s="96"/>
      <c r="H27" s="96"/>
      <c r="I27" s="96"/>
      <c r="J27" s="96"/>
      <c r="K27" s="96"/>
      <c r="L27" s="96"/>
      <c r="M27" s="96"/>
      <c r="N27" s="96"/>
      <c r="O27" s="96"/>
      <c r="P27" s="96"/>
      <c r="Q27" s="96"/>
      <c r="R27" s="96"/>
      <c r="S27" s="96"/>
      <c r="T27" s="96"/>
      <c r="U27" s="96"/>
      <c r="V27" s="96"/>
      <c r="W27" s="96"/>
      <c r="X27" s="96"/>
      <c r="Y27" s="96"/>
      <c r="Z27" s="96"/>
      <c r="AA27" s="96">
        <f t="shared" si="4"/>
        <v>1.157</v>
      </c>
      <c r="AB27" s="95">
        <v>1.157</v>
      </c>
      <c r="AC27" s="99">
        <f t="shared" ref="AC27:AC36" si="5">AB27+0.01</f>
        <v>1.167</v>
      </c>
      <c r="AD27" s="103">
        <f t="shared" ref="AD27:AD56" si="6">AD28-AA28</f>
        <v>1.182</v>
      </c>
      <c r="AE27" s="103">
        <f t="shared" ref="AE27:AE70" si="7">AE28-AA28</f>
        <v>1.192</v>
      </c>
    </row>
    <row r="28">
      <c r="A28" s="97">
        <f t="shared" si="3"/>
        <v>24</v>
      </c>
      <c r="B28" s="92">
        <v>40.0</v>
      </c>
      <c r="C28" s="90"/>
      <c r="D28" s="66">
        <f t="shared" si="1"/>
        <v>513</v>
      </c>
      <c r="E28" s="66">
        <f t="shared" si="2"/>
        <v>42800</v>
      </c>
      <c r="F28" s="96"/>
      <c r="G28" s="96"/>
      <c r="H28" s="96"/>
      <c r="I28" s="96"/>
      <c r="J28" s="96"/>
      <c r="K28" s="96"/>
      <c r="L28" s="96"/>
      <c r="M28" s="96"/>
      <c r="N28" s="96"/>
      <c r="O28" s="96"/>
      <c r="P28" s="96"/>
      <c r="Q28" s="94"/>
      <c r="R28" s="94"/>
      <c r="S28" s="94"/>
      <c r="T28" s="94"/>
      <c r="U28" s="94"/>
      <c r="V28" s="96"/>
      <c r="W28" s="96"/>
      <c r="X28" s="96"/>
      <c r="Y28" s="96"/>
      <c r="Z28" s="96"/>
      <c r="AA28" s="96">
        <f t="shared" si="4"/>
        <v>0.005</v>
      </c>
      <c r="AB28" s="95">
        <v>1.162</v>
      </c>
      <c r="AC28" s="99">
        <f t="shared" si="5"/>
        <v>1.172</v>
      </c>
      <c r="AD28" s="103">
        <f t="shared" si="6"/>
        <v>1.187</v>
      </c>
      <c r="AE28" s="103">
        <f t="shared" si="7"/>
        <v>1.197</v>
      </c>
    </row>
    <row r="29">
      <c r="A29" s="97">
        <f t="shared" si="3"/>
        <v>25</v>
      </c>
      <c r="B29" s="92">
        <v>50.0</v>
      </c>
      <c r="C29" s="92">
        <v>10000.0</v>
      </c>
      <c r="D29" s="66">
        <f t="shared" si="1"/>
        <v>563</v>
      </c>
      <c r="E29" s="66">
        <f t="shared" si="2"/>
        <v>52800</v>
      </c>
      <c r="F29" s="96">
        <f>G30-G28</f>
        <v>2.086</v>
      </c>
      <c r="G29" s="96"/>
      <c r="H29" s="96"/>
      <c r="I29" s="96"/>
      <c r="J29" s="96"/>
      <c r="K29" s="96"/>
      <c r="L29" s="96"/>
      <c r="M29" s="96"/>
      <c r="N29" s="96"/>
      <c r="O29" s="96">
        <f t="shared" ref="O29:O33" si="8">Q29-Q28</f>
        <v>0</v>
      </c>
      <c r="P29" s="96"/>
      <c r="Q29" s="94"/>
      <c r="R29" s="94"/>
      <c r="S29" s="94"/>
      <c r="T29" s="94"/>
      <c r="U29" s="94"/>
      <c r="V29" s="96"/>
      <c r="W29" s="96"/>
      <c r="X29" s="96"/>
      <c r="Y29" s="96"/>
      <c r="Z29" s="96"/>
      <c r="AA29" s="96">
        <f t="shared" si="4"/>
        <v>0.005</v>
      </c>
      <c r="AB29" s="95">
        <v>1.167</v>
      </c>
      <c r="AC29" s="99">
        <f t="shared" si="5"/>
        <v>1.177</v>
      </c>
      <c r="AD29" s="103">
        <f t="shared" si="6"/>
        <v>1.192</v>
      </c>
      <c r="AE29" s="103">
        <f t="shared" si="7"/>
        <v>1.202</v>
      </c>
    </row>
    <row r="30">
      <c r="A30" s="97">
        <f t="shared" si="3"/>
        <v>26</v>
      </c>
      <c r="B30" s="92">
        <v>50.0</v>
      </c>
      <c r="C30" s="92">
        <v>10000.0</v>
      </c>
      <c r="D30" s="66">
        <f t="shared" si="1"/>
        <v>613</v>
      </c>
      <c r="E30" s="66">
        <f t="shared" si="2"/>
        <v>62800</v>
      </c>
      <c r="F30" s="94"/>
      <c r="G30" s="95">
        <v>2.086</v>
      </c>
      <c r="H30" s="96"/>
      <c r="I30" s="96"/>
      <c r="J30" s="96"/>
      <c r="K30" s="96"/>
      <c r="L30" s="96"/>
      <c r="M30" s="96"/>
      <c r="N30" s="96"/>
      <c r="O30" s="96">
        <f t="shared" si="8"/>
        <v>0</v>
      </c>
      <c r="P30" s="96"/>
      <c r="Q30" s="94"/>
      <c r="R30" s="94"/>
      <c r="S30" s="94"/>
      <c r="T30" s="94"/>
      <c r="U30" s="94"/>
      <c r="V30" s="96"/>
      <c r="W30" s="94"/>
      <c r="X30" s="96"/>
      <c r="Y30" s="96"/>
      <c r="Z30" s="96"/>
      <c r="AA30" s="96">
        <f t="shared" si="4"/>
        <v>0.005</v>
      </c>
      <c r="AB30" s="95">
        <v>1.172</v>
      </c>
      <c r="AC30" s="99">
        <f t="shared" si="5"/>
        <v>1.182</v>
      </c>
      <c r="AD30" s="103">
        <f t="shared" si="6"/>
        <v>1.197</v>
      </c>
      <c r="AE30" s="103">
        <f t="shared" si="7"/>
        <v>1.207</v>
      </c>
    </row>
    <row r="31">
      <c r="A31" s="97">
        <f t="shared" si="3"/>
        <v>27</v>
      </c>
      <c r="B31" s="92">
        <v>50.0</v>
      </c>
      <c r="C31" s="92">
        <v>10000.0</v>
      </c>
      <c r="D31" s="66">
        <f t="shared" si="1"/>
        <v>663</v>
      </c>
      <c r="E31" s="66">
        <f t="shared" si="2"/>
        <v>72800</v>
      </c>
      <c r="F31" s="96">
        <f t="shared" ref="F31:F33" si="9">G31-G30</f>
        <v>-2.086</v>
      </c>
      <c r="G31" s="94"/>
      <c r="H31" s="96"/>
      <c r="I31" s="96"/>
      <c r="J31" s="96"/>
      <c r="K31" s="96"/>
      <c r="L31" s="96"/>
      <c r="M31" s="96"/>
      <c r="N31" s="96"/>
      <c r="O31" s="96">
        <f t="shared" si="8"/>
        <v>0</v>
      </c>
      <c r="P31" s="96"/>
      <c r="Q31" s="94"/>
      <c r="R31" s="94"/>
      <c r="S31" s="94"/>
      <c r="T31" s="94"/>
      <c r="U31" s="94"/>
      <c r="V31" s="96"/>
      <c r="W31" s="96"/>
      <c r="X31" s="96"/>
      <c r="Y31" s="96"/>
      <c r="Z31" s="96"/>
      <c r="AA31" s="96">
        <f t="shared" si="4"/>
        <v>0.005</v>
      </c>
      <c r="AB31" s="95">
        <v>1.177</v>
      </c>
      <c r="AC31" s="99">
        <f t="shared" si="5"/>
        <v>1.187</v>
      </c>
      <c r="AD31" s="103">
        <f t="shared" si="6"/>
        <v>1.202</v>
      </c>
      <c r="AE31" s="103">
        <f t="shared" si="7"/>
        <v>1.212</v>
      </c>
    </row>
    <row r="32">
      <c r="A32" s="97">
        <f t="shared" si="3"/>
        <v>28</v>
      </c>
      <c r="B32" s="92">
        <v>50.0</v>
      </c>
      <c r="C32" s="92">
        <v>10000.0</v>
      </c>
      <c r="D32" s="66">
        <f t="shared" si="1"/>
        <v>713</v>
      </c>
      <c r="E32" s="66">
        <f t="shared" si="2"/>
        <v>82800</v>
      </c>
      <c r="F32" s="96">
        <f t="shared" si="9"/>
        <v>0</v>
      </c>
      <c r="G32" s="94"/>
      <c r="H32" s="96"/>
      <c r="I32" s="96"/>
      <c r="J32" s="96"/>
      <c r="K32" s="96"/>
      <c r="L32" s="96"/>
      <c r="M32" s="96"/>
      <c r="N32" s="96"/>
      <c r="O32" s="96">
        <f t="shared" si="8"/>
        <v>0</v>
      </c>
      <c r="P32" s="96"/>
      <c r="Q32" s="94"/>
      <c r="R32" s="94"/>
      <c r="S32" s="94"/>
      <c r="T32" s="94"/>
      <c r="U32" s="94"/>
      <c r="V32" s="96"/>
      <c r="W32" s="95">
        <v>1.66</v>
      </c>
      <c r="X32" s="96"/>
      <c r="Y32" s="96"/>
      <c r="Z32" s="96"/>
      <c r="AA32" s="96">
        <f t="shared" si="4"/>
        <v>0.005</v>
      </c>
      <c r="AB32" s="95">
        <v>1.182</v>
      </c>
      <c r="AC32" s="99">
        <f t="shared" si="5"/>
        <v>1.192</v>
      </c>
      <c r="AD32" s="103">
        <f t="shared" si="6"/>
        <v>1.207</v>
      </c>
      <c r="AE32" s="103">
        <f t="shared" si="7"/>
        <v>1.217</v>
      </c>
    </row>
    <row r="33">
      <c r="A33" s="97">
        <f t="shared" si="3"/>
        <v>29</v>
      </c>
      <c r="B33" s="92">
        <v>50.0</v>
      </c>
      <c r="C33" s="92">
        <v>10000.0</v>
      </c>
      <c r="D33" s="66">
        <f t="shared" si="1"/>
        <v>763</v>
      </c>
      <c r="E33" s="66">
        <f t="shared" si="2"/>
        <v>92800</v>
      </c>
      <c r="F33" s="96">
        <f t="shared" si="9"/>
        <v>0</v>
      </c>
      <c r="G33" s="94"/>
      <c r="H33" s="95">
        <v>2.25</v>
      </c>
      <c r="I33" s="96"/>
      <c r="J33" s="96"/>
      <c r="K33" s="96"/>
      <c r="L33" s="96"/>
      <c r="M33" s="96"/>
      <c r="N33" s="96"/>
      <c r="O33" s="96">
        <f t="shared" si="8"/>
        <v>1.935</v>
      </c>
      <c r="P33" s="94"/>
      <c r="Q33" s="95">
        <v>1.935</v>
      </c>
      <c r="R33" s="94"/>
      <c r="S33" s="94"/>
      <c r="T33" s="94"/>
      <c r="U33" s="94"/>
      <c r="V33" s="98">
        <f>W33-W32</f>
        <v>0.064</v>
      </c>
      <c r="W33" s="95">
        <v>1.724</v>
      </c>
      <c r="X33" s="99">
        <f>W33+0.008</f>
        <v>1.732</v>
      </c>
      <c r="Y33" s="99">
        <f>X33+0.014</f>
        <v>1.746</v>
      </c>
      <c r="Z33" s="96"/>
      <c r="AA33" s="96">
        <f t="shared" si="4"/>
        <v>0.005</v>
      </c>
      <c r="AB33" s="95">
        <v>1.187</v>
      </c>
      <c r="AC33" s="99">
        <f t="shared" si="5"/>
        <v>1.197</v>
      </c>
      <c r="AD33" s="103">
        <f t="shared" si="6"/>
        <v>1.212</v>
      </c>
      <c r="AE33" s="103">
        <f t="shared" si="7"/>
        <v>1.222</v>
      </c>
    </row>
    <row r="34">
      <c r="A34" s="97">
        <f t="shared" si="3"/>
        <v>30</v>
      </c>
      <c r="B34" s="92">
        <v>74.0</v>
      </c>
      <c r="C34" s="92">
        <v>10000.0</v>
      </c>
      <c r="D34" s="66">
        <f t="shared" si="1"/>
        <v>837</v>
      </c>
      <c r="E34" s="66">
        <f t="shared" si="2"/>
        <v>102800</v>
      </c>
      <c r="F34" s="96">
        <f t="shared" ref="F34:F37" si="10">H34-H33</f>
        <v>0.053</v>
      </c>
      <c r="G34" s="94"/>
      <c r="H34" s="95">
        <v>2.303</v>
      </c>
      <c r="I34" s="96"/>
      <c r="J34" s="96"/>
      <c r="K34" s="96"/>
      <c r="L34" s="96"/>
      <c r="M34" s="96"/>
      <c r="N34" s="96"/>
      <c r="O34" s="96"/>
      <c r="P34" s="94"/>
      <c r="Q34" s="94"/>
      <c r="R34" s="94"/>
      <c r="S34" s="94"/>
      <c r="T34" s="94"/>
      <c r="U34" s="94"/>
      <c r="V34" s="96">
        <f t="shared" ref="V34:V37" si="11">Y35-Y34</f>
        <v>0.032</v>
      </c>
      <c r="W34" s="95">
        <f t="shared" ref="W34:W36" si="12">W33+V34</f>
        <v>1.756</v>
      </c>
      <c r="X34" s="99">
        <f t="shared" ref="X34:X36" si="13">Y34-0.014</f>
        <v>1.764</v>
      </c>
      <c r="Y34" s="99">
        <f>Y33+V35</f>
        <v>1.778</v>
      </c>
      <c r="Z34" s="96"/>
      <c r="AA34" s="96">
        <f t="shared" si="4"/>
        <v>0.005</v>
      </c>
      <c r="AB34" s="95">
        <v>1.192</v>
      </c>
      <c r="AC34" s="99">
        <f t="shared" si="5"/>
        <v>1.202</v>
      </c>
      <c r="AD34" s="103">
        <f t="shared" si="6"/>
        <v>1.217</v>
      </c>
      <c r="AE34" s="103">
        <f t="shared" si="7"/>
        <v>1.227</v>
      </c>
    </row>
    <row r="35">
      <c r="A35" s="97">
        <f t="shared" si="3"/>
        <v>31</v>
      </c>
      <c r="B35" s="92">
        <v>74.0</v>
      </c>
      <c r="C35" s="92">
        <v>10000.0</v>
      </c>
      <c r="D35" s="66">
        <f t="shared" si="1"/>
        <v>911</v>
      </c>
      <c r="E35" s="66">
        <f t="shared" si="2"/>
        <v>112800</v>
      </c>
      <c r="F35" s="98">
        <f t="shared" si="10"/>
        <v>0.246</v>
      </c>
      <c r="G35" s="94"/>
      <c r="H35" s="95">
        <v>2.549</v>
      </c>
      <c r="I35" s="96"/>
      <c r="J35" s="96"/>
      <c r="K35" s="96"/>
      <c r="L35" s="96"/>
      <c r="M35" s="96"/>
      <c r="N35" s="96"/>
      <c r="O35" s="96"/>
      <c r="P35" s="94"/>
      <c r="Q35" s="94"/>
      <c r="R35" s="94"/>
      <c r="S35" s="94"/>
      <c r="T35" s="94"/>
      <c r="U35" s="94"/>
      <c r="V35" s="96">
        <f t="shared" si="11"/>
        <v>0.032</v>
      </c>
      <c r="W35" s="95">
        <f t="shared" si="12"/>
        <v>1.788</v>
      </c>
      <c r="X35" s="99">
        <f t="shared" si="13"/>
        <v>1.796</v>
      </c>
      <c r="Y35" s="95">
        <v>1.81</v>
      </c>
      <c r="Z35" s="96"/>
      <c r="AA35" s="96">
        <f t="shared" si="4"/>
        <v>0.005</v>
      </c>
      <c r="AB35" s="95">
        <v>1.197</v>
      </c>
      <c r="AC35" s="99">
        <f t="shared" si="5"/>
        <v>1.207</v>
      </c>
      <c r="AD35" s="103">
        <f t="shared" si="6"/>
        <v>1.222</v>
      </c>
      <c r="AE35" s="103">
        <f t="shared" si="7"/>
        <v>1.232</v>
      </c>
    </row>
    <row r="36">
      <c r="A36" s="97">
        <f t="shared" si="3"/>
        <v>32</v>
      </c>
      <c r="B36" s="92">
        <v>74.0</v>
      </c>
      <c r="C36" s="92">
        <v>10000.0</v>
      </c>
      <c r="D36" s="66">
        <f t="shared" si="1"/>
        <v>985</v>
      </c>
      <c r="E36" s="66">
        <f t="shared" si="2"/>
        <v>122800</v>
      </c>
      <c r="F36" s="96">
        <f t="shared" si="10"/>
        <v>0.06</v>
      </c>
      <c r="G36" s="94"/>
      <c r="H36" s="95">
        <v>2.609</v>
      </c>
      <c r="I36" s="96"/>
      <c r="J36" s="96"/>
      <c r="K36" s="96"/>
      <c r="L36" s="96"/>
      <c r="M36" s="96"/>
      <c r="N36" s="96"/>
      <c r="O36" s="96"/>
      <c r="P36" s="94"/>
      <c r="Q36" s="94"/>
      <c r="R36" s="94"/>
      <c r="S36" s="94"/>
      <c r="T36" s="94"/>
      <c r="U36" s="94"/>
      <c r="V36" s="96">
        <f t="shared" si="11"/>
        <v>0.032</v>
      </c>
      <c r="W36" s="95">
        <f t="shared" si="12"/>
        <v>1.82</v>
      </c>
      <c r="X36" s="99">
        <f t="shared" si="13"/>
        <v>1.828</v>
      </c>
      <c r="Y36" s="95">
        <v>1.842</v>
      </c>
      <c r="Z36" s="96"/>
      <c r="AA36" s="96">
        <f t="shared" si="4"/>
        <v>0.005</v>
      </c>
      <c r="AB36" s="95">
        <v>1.202</v>
      </c>
      <c r="AC36" s="99">
        <f t="shared" si="5"/>
        <v>1.212</v>
      </c>
      <c r="AD36" s="103">
        <f t="shared" si="6"/>
        <v>1.227</v>
      </c>
      <c r="AE36" s="103">
        <f t="shared" si="7"/>
        <v>1.237</v>
      </c>
    </row>
    <row r="37">
      <c r="A37" s="97">
        <f t="shared" si="3"/>
        <v>33</v>
      </c>
      <c r="B37" s="92">
        <v>74.0</v>
      </c>
      <c r="C37" s="92">
        <v>10000.0</v>
      </c>
      <c r="D37" s="66">
        <f t="shared" si="1"/>
        <v>1059</v>
      </c>
      <c r="E37" s="66">
        <f t="shared" si="2"/>
        <v>132800</v>
      </c>
      <c r="F37" s="96">
        <f t="shared" si="10"/>
        <v>0.06</v>
      </c>
      <c r="G37" s="95">
        <v>2.661</v>
      </c>
      <c r="H37" s="99">
        <f t="shared" ref="H37:H39" si="14">G37+0.008</f>
        <v>2.669</v>
      </c>
      <c r="I37" s="99">
        <f t="shared" ref="I37:I39" si="15">H37+0.018</f>
        <v>2.687</v>
      </c>
      <c r="J37" s="96"/>
      <c r="K37" s="96"/>
      <c r="L37" s="96"/>
      <c r="M37" s="96"/>
      <c r="N37" s="96"/>
      <c r="O37" s="96"/>
      <c r="P37" s="95">
        <v>2.166</v>
      </c>
      <c r="Q37" s="94"/>
      <c r="R37" s="94"/>
      <c r="S37" s="94"/>
      <c r="T37" s="94"/>
      <c r="U37" s="94"/>
      <c r="V37" s="96">
        <f t="shared" si="11"/>
        <v>0.032</v>
      </c>
      <c r="W37" s="95">
        <v>1.852</v>
      </c>
      <c r="X37" s="95">
        <f t="shared" ref="X37:X43" si="16">W37+0.008</f>
        <v>1.86</v>
      </c>
      <c r="Y37" s="95">
        <v>1.874</v>
      </c>
      <c r="Z37" s="96"/>
      <c r="AA37" s="96">
        <f t="shared" si="4"/>
        <v>0.005</v>
      </c>
      <c r="AB37" s="95">
        <v>1.207</v>
      </c>
      <c r="AC37" s="95">
        <v>1.217</v>
      </c>
      <c r="AD37" s="103">
        <f t="shared" si="6"/>
        <v>1.232</v>
      </c>
      <c r="AE37" s="103">
        <f t="shared" si="7"/>
        <v>1.242</v>
      </c>
    </row>
    <row r="38">
      <c r="A38" s="97">
        <f t="shared" si="3"/>
        <v>34</v>
      </c>
      <c r="B38" s="92">
        <v>74.0</v>
      </c>
      <c r="C38" s="92">
        <v>17000.0</v>
      </c>
      <c r="D38" s="66">
        <f t="shared" si="1"/>
        <v>1133</v>
      </c>
      <c r="E38" s="66">
        <f t="shared" si="2"/>
        <v>149800</v>
      </c>
      <c r="F38" s="96">
        <f t="shared" ref="F38:F54" si="17">G38-G37</f>
        <v>0.058</v>
      </c>
      <c r="G38" s="95">
        <v>2.719</v>
      </c>
      <c r="H38" s="99">
        <f t="shared" si="14"/>
        <v>2.727</v>
      </c>
      <c r="I38" s="99">
        <f t="shared" si="15"/>
        <v>2.745</v>
      </c>
      <c r="J38" s="96"/>
      <c r="K38" s="96"/>
      <c r="L38" s="96"/>
      <c r="M38" s="96"/>
      <c r="N38" s="96"/>
      <c r="O38" s="96">
        <f t="shared" ref="O38:O42" si="18">P38-P37</f>
        <v>0.038</v>
      </c>
      <c r="P38" s="95">
        <v>2.204</v>
      </c>
      <c r="Q38" s="96"/>
      <c r="R38" s="94"/>
      <c r="S38" s="94"/>
      <c r="T38" s="94"/>
      <c r="U38" s="94"/>
      <c r="V38" s="96">
        <f>W38-W37</f>
        <v>0.032</v>
      </c>
      <c r="W38" s="95">
        <f>W37+V37</f>
        <v>1.884</v>
      </c>
      <c r="X38" s="95">
        <f t="shared" si="16"/>
        <v>1.892</v>
      </c>
      <c r="Y38" s="95">
        <v>1.906</v>
      </c>
      <c r="Z38" s="96"/>
      <c r="AA38" s="96">
        <f t="shared" si="4"/>
        <v>0.005</v>
      </c>
      <c r="AB38" s="95">
        <v>1.212</v>
      </c>
      <c r="AC38" s="99">
        <f t="shared" ref="AC38:AC79" si="19">AB38+0.01</f>
        <v>1.222</v>
      </c>
      <c r="AD38" s="103">
        <f t="shared" si="6"/>
        <v>1.237</v>
      </c>
      <c r="AE38" s="103">
        <f t="shared" si="7"/>
        <v>1.247</v>
      </c>
    </row>
    <row r="39">
      <c r="A39" s="97">
        <f t="shared" si="3"/>
        <v>35</v>
      </c>
      <c r="B39" s="92">
        <v>89.0</v>
      </c>
      <c r="C39" s="92">
        <v>17000.0</v>
      </c>
      <c r="D39" s="66">
        <f t="shared" si="1"/>
        <v>1222</v>
      </c>
      <c r="E39" s="66">
        <f t="shared" si="2"/>
        <v>166800</v>
      </c>
      <c r="F39" s="96">
        <f t="shared" si="17"/>
        <v>0.064</v>
      </c>
      <c r="G39" s="95">
        <v>2.783</v>
      </c>
      <c r="H39" s="99">
        <f t="shared" si="14"/>
        <v>2.791</v>
      </c>
      <c r="I39" s="99">
        <f t="shared" si="15"/>
        <v>2.809</v>
      </c>
      <c r="J39" s="96"/>
      <c r="K39" s="96"/>
      <c r="L39" s="96"/>
      <c r="M39" s="96"/>
      <c r="N39" s="96"/>
      <c r="O39" s="96">
        <f t="shared" si="18"/>
        <v>0.158</v>
      </c>
      <c r="P39" s="95">
        <v>2.362</v>
      </c>
      <c r="Q39" s="96"/>
      <c r="R39" s="94"/>
      <c r="S39" s="94"/>
      <c r="T39" s="94"/>
      <c r="U39" s="94"/>
      <c r="V39" s="100">
        <f>Y40-Y39</f>
        <v>0.036</v>
      </c>
      <c r="W39" s="95">
        <f>W40-V41</f>
        <v>1.92</v>
      </c>
      <c r="X39" s="95">
        <f t="shared" si="16"/>
        <v>1.928</v>
      </c>
      <c r="Y39" s="95">
        <v>1.942</v>
      </c>
      <c r="Z39" s="96"/>
      <c r="AA39" s="96">
        <f t="shared" si="4"/>
        <v>0.005</v>
      </c>
      <c r="AB39" s="95">
        <v>1.217</v>
      </c>
      <c r="AC39" s="99">
        <f t="shared" si="19"/>
        <v>1.227</v>
      </c>
      <c r="AD39" s="103">
        <f t="shared" si="6"/>
        <v>1.242</v>
      </c>
      <c r="AE39" s="103">
        <f t="shared" si="7"/>
        <v>1.252</v>
      </c>
    </row>
    <row r="40">
      <c r="A40" s="97">
        <f t="shared" si="3"/>
        <v>36</v>
      </c>
      <c r="B40" s="92">
        <v>89.0</v>
      </c>
      <c r="C40" s="92">
        <v>17000.0</v>
      </c>
      <c r="D40" s="66">
        <f t="shared" si="1"/>
        <v>1311</v>
      </c>
      <c r="E40" s="66">
        <f t="shared" si="2"/>
        <v>183800</v>
      </c>
      <c r="F40" s="98">
        <f t="shared" si="17"/>
        <v>0.296</v>
      </c>
      <c r="G40" s="95">
        <v>3.079</v>
      </c>
      <c r="H40" s="99">
        <f>H41-F41</f>
        <v>3.089</v>
      </c>
      <c r="I40" s="99">
        <f t="shared" ref="I40:I53" si="20">H40+0.02</f>
        <v>3.109</v>
      </c>
      <c r="J40" s="96"/>
      <c r="K40" s="96"/>
      <c r="L40" s="96"/>
      <c r="M40" s="96"/>
      <c r="N40" s="96"/>
      <c r="O40" s="96">
        <f t="shared" si="18"/>
        <v>0.048</v>
      </c>
      <c r="P40" s="95">
        <v>2.41</v>
      </c>
      <c r="Q40" s="96"/>
      <c r="R40" s="94"/>
      <c r="S40" s="94"/>
      <c r="T40" s="94"/>
      <c r="U40" s="94"/>
      <c r="V40" s="96">
        <f t="shared" ref="V40:V44" si="21">W40-W39</f>
        <v>0.036</v>
      </c>
      <c r="W40" s="95">
        <v>1.956</v>
      </c>
      <c r="X40" s="95">
        <f t="shared" si="16"/>
        <v>1.964</v>
      </c>
      <c r="Y40" s="95">
        <v>1.978</v>
      </c>
      <c r="Z40" s="96"/>
      <c r="AA40" s="96">
        <f t="shared" si="4"/>
        <v>0.005</v>
      </c>
      <c r="AB40" s="95">
        <v>1.222</v>
      </c>
      <c r="AC40" s="99">
        <f t="shared" si="19"/>
        <v>1.232</v>
      </c>
      <c r="AD40" s="103">
        <f t="shared" si="6"/>
        <v>1.247</v>
      </c>
      <c r="AE40" s="103">
        <f t="shared" si="7"/>
        <v>1.257</v>
      </c>
    </row>
    <row r="41">
      <c r="A41" s="97">
        <f t="shared" si="3"/>
        <v>37</v>
      </c>
      <c r="B41" s="92">
        <v>89.0</v>
      </c>
      <c r="C41" s="92">
        <v>17000.0</v>
      </c>
      <c r="D41" s="66">
        <f t="shared" si="1"/>
        <v>1400</v>
      </c>
      <c r="E41" s="66">
        <f t="shared" si="2"/>
        <v>200800</v>
      </c>
      <c r="F41" s="96">
        <f t="shared" si="17"/>
        <v>0.072</v>
      </c>
      <c r="G41" s="95">
        <f t="shared" ref="G41:G42" si="22">H41-0.01</f>
        <v>3.151</v>
      </c>
      <c r="H41" s="95">
        <v>3.161</v>
      </c>
      <c r="I41" s="99">
        <f t="shared" si="20"/>
        <v>3.181</v>
      </c>
      <c r="J41" s="94"/>
      <c r="K41" s="94"/>
      <c r="L41" s="94"/>
      <c r="M41" s="94"/>
      <c r="N41" s="96"/>
      <c r="O41" s="98">
        <f t="shared" si="18"/>
        <v>0.291</v>
      </c>
      <c r="P41" s="95">
        <v>2.701</v>
      </c>
      <c r="Q41" s="96"/>
      <c r="R41" s="94"/>
      <c r="S41" s="94"/>
      <c r="T41" s="94"/>
      <c r="U41" s="94"/>
      <c r="V41" s="96">
        <f t="shared" si="21"/>
        <v>0.036</v>
      </c>
      <c r="W41" s="95">
        <v>1.992</v>
      </c>
      <c r="X41" s="95">
        <f t="shared" si="16"/>
        <v>2</v>
      </c>
      <c r="Y41" s="99">
        <f t="shared" ref="Y41:Y43" si="23">Y40+V41</f>
        <v>2.014</v>
      </c>
      <c r="Z41" s="96"/>
      <c r="AA41" s="96">
        <f t="shared" si="4"/>
        <v>0.005</v>
      </c>
      <c r="AB41" s="95">
        <v>1.227</v>
      </c>
      <c r="AC41" s="99">
        <f t="shared" si="19"/>
        <v>1.237</v>
      </c>
      <c r="AD41" s="103">
        <f t="shared" si="6"/>
        <v>1.252</v>
      </c>
      <c r="AE41" s="103">
        <f t="shared" si="7"/>
        <v>1.262</v>
      </c>
    </row>
    <row r="42">
      <c r="A42" s="97">
        <f t="shared" si="3"/>
        <v>38</v>
      </c>
      <c r="B42" s="92">
        <v>89.0</v>
      </c>
      <c r="C42" s="92">
        <v>17000.0</v>
      </c>
      <c r="D42" s="66">
        <f t="shared" si="1"/>
        <v>1489</v>
      </c>
      <c r="E42" s="66">
        <f t="shared" si="2"/>
        <v>217800</v>
      </c>
      <c r="F42" s="96">
        <f t="shared" si="17"/>
        <v>0.072</v>
      </c>
      <c r="G42" s="95">
        <f t="shared" si="22"/>
        <v>3.223</v>
      </c>
      <c r="H42" s="95">
        <v>3.233</v>
      </c>
      <c r="I42" s="99">
        <f t="shared" si="20"/>
        <v>3.253</v>
      </c>
      <c r="J42" s="94"/>
      <c r="K42" s="94"/>
      <c r="L42" s="94"/>
      <c r="M42" s="94"/>
      <c r="N42" s="96"/>
      <c r="O42" s="98">
        <f t="shared" si="18"/>
        <v>0.307</v>
      </c>
      <c r="P42" s="95">
        <v>3.008</v>
      </c>
      <c r="Q42" s="95">
        <v>3.033</v>
      </c>
      <c r="R42" s="99">
        <f t="shared" ref="R42:R57" si="24">Q42+0.05</f>
        <v>3.083</v>
      </c>
      <c r="S42" s="94"/>
      <c r="T42" s="94"/>
      <c r="U42" s="94"/>
      <c r="V42" s="96">
        <f t="shared" si="21"/>
        <v>0.036</v>
      </c>
      <c r="W42" s="95">
        <f t="shared" ref="W42:W43" si="25">W41+V41</f>
        <v>2.028</v>
      </c>
      <c r="X42" s="95">
        <f t="shared" si="16"/>
        <v>2.036</v>
      </c>
      <c r="Y42" s="99">
        <f t="shared" si="23"/>
        <v>2.05</v>
      </c>
      <c r="Z42" s="96"/>
      <c r="AA42" s="96">
        <f t="shared" si="4"/>
        <v>0.005</v>
      </c>
      <c r="AB42" s="95">
        <v>1.232</v>
      </c>
      <c r="AC42" s="99">
        <f t="shared" si="19"/>
        <v>1.242</v>
      </c>
      <c r="AD42" s="103">
        <f t="shared" si="6"/>
        <v>1.257</v>
      </c>
      <c r="AE42" s="103">
        <f t="shared" si="7"/>
        <v>1.267</v>
      </c>
    </row>
    <row r="43">
      <c r="A43" s="97">
        <f t="shared" si="3"/>
        <v>39</v>
      </c>
      <c r="B43" s="92">
        <v>89.0</v>
      </c>
      <c r="C43" s="92">
        <v>30000.0</v>
      </c>
      <c r="D43" s="66">
        <f t="shared" si="1"/>
        <v>1578</v>
      </c>
      <c r="E43" s="66">
        <f t="shared" si="2"/>
        <v>247800</v>
      </c>
      <c r="F43" s="96">
        <f t="shared" si="17"/>
        <v>0.073</v>
      </c>
      <c r="G43" s="95">
        <v>3.296</v>
      </c>
      <c r="H43" s="95">
        <v>3.305</v>
      </c>
      <c r="I43" s="99">
        <f t="shared" si="20"/>
        <v>3.325</v>
      </c>
      <c r="J43" s="94"/>
      <c r="K43" s="94"/>
      <c r="L43" s="94"/>
      <c r="M43" s="94"/>
      <c r="N43" s="96"/>
      <c r="O43" s="96"/>
      <c r="P43" s="96"/>
      <c r="Q43" s="96"/>
      <c r="R43" s="96">
        <f t="shared" si="24"/>
        <v>0.05</v>
      </c>
      <c r="S43" s="94"/>
      <c r="T43" s="94"/>
      <c r="U43" s="94"/>
      <c r="V43" s="96">
        <f t="shared" si="21"/>
        <v>0.036</v>
      </c>
      <c r="W43" s="95">
        <f t="shared" si="25"/>
        <v>2.064</v>
      </c>
      <c r="X43" s="95">
        <f t="shared" si="16"/>
        <v>2.072</v>
      </c>
      <c r="Y43" s="99">
        <f t="shared" si="23"/>
        <v>2.086</v>
      </c>
      <c r="Z43" s="96"/>
      <c r="AA43" s="96">
        <f t="shared" si="4"/>
        <v>0.005</v>
      </c>
      <c r="AB43" s="95">
        <v>1.237</v>
      </c>
      <c r="AC43" s="99">
        <f t="shared" si="19"/>
        <v>1.247</v>
      </c>
      <c r="AD43" s="103">
        <f t="shared" si="6"/>
        <v>1.262</v>
      </c>
      <c r="AE43" s="103">
        <f t="shared" si="7"/>
        <v>1.272</v>
      </c>
    </row>
    <row r="44">
      <c r="A44" s="97">
        <f t="shared" si="3"/>
        <v>40</v>
      </c>
      <c r="B44" s="92">
        <v>89.0</v>
      </c>
      <c r="C44" s="92">
        <v>30000.0</v>
      </c>
      <c r="D44" s="66">
        <f t="shared" si="1"/>
        <v>1667</v>
      </c>
      <c r="E44" s="66">
        <f t="shared" si="2"/>
        <v>277800</v>
      </c>
      <c r="F44" s="96">
        <f t="shared" si="17"/>
        <v>0.076</v>
      </c>
      <c r="G44" s="95">
        <v>3.372</v>
      </c>
      <c r="H44" s="95">
        <v>3.381</v>
      </c>
      <c r="I44" s="99">
        <f t="shared" si="20"/>
        <v>3.401</v>
      </c>
      <c r="J44" s="94"/>
      <c r="K44" s="94"/>
      <c r="L44" s="94"/>
      <c r="M44" s="94"/>
      <c r="N44" s="96"/>
      <c r="O44" s="96"/>
      <c r="P44" s="96"/>
      <c r="Q44" s="96"/>
      <c r="R44" s="96">
        <f t="shared" si="24"/>
        <v>0.05</v>
      </c>
      <c r="S44" s="94"/>
      <c r="T44" s="94"/>
      <c r="U44" s="94"/>
      <c r="V44" s="98">
        <f t="shared" si="21"/>
        <v>0.316</v>
      </c>
      <c r="W44" s="95">
        <v>2.38</v>
      </c>
      <c r="X44" s="95">
        <f>X45-V45</f>
        <v>2.39</v>
      </c>
      <c r="Y44" s="99">
        <f>Y45-V45</f>
        <v>2.407</v>
      </c>
      <c r="Z44" s="96"/>
      <c r="AA44" s="96">
        <f t="shared" si="4"/>
        <v>0.005</v>
      </c>
      <c r="AB44" s="95">
        <v>1.242</v>
      </c>
      <c r="AC44" s="99">
        <f t="shared" si="19"/>
        <v>1.252</v>
      </c>
      <c r="AD44" s="103">
        <f t="shared" si="6"/>
        <v>1.267</v>
      </c>
      <c r="AE44" s="103">
        <f t="shared" si="7"/>
        <v>1.277</v>
      </c>
    </row>
    <row r="45">
      <c r="A45" s="97">
        <f t="shared" si="3"/>
        <v>41</v>
      </c>
      <c r="B45" s="92">
        <v>119.0</v>
      </c>
      <c r="C45" s="92">
        <v>30000.0</v>
      </c>
      <c r="D45" s="104">
        <f t="shared" si="1"/>
        <v>1786</v>
      </c>
      <c r="E45" s="104">
        <f t="shared" si="2"/>
        <v>307800</v>
      </c>
      <c r="F45" s="96">
        <f t="shared" si="17"/>
        <v>0.076</v>
      </c>
      <c r="G45" s="99">
        <f>G44+F44</f>
        <v>3.448</v>
      </c>
      <c r="H45" s="95">
        <v>3.458</v>
      </c>
      <c r="I45" s="99">
        <f t="shared" si="20"/>
        <v>3.478</v>
      </c>
      <c r="J45" s="94"/>
      <c r="K45" s="94"/>
      <c r="L45" s="94"/>
      <c r="M45" s="94"/>
      <c r="N45" s="96"/>
      <c r="O45" s="96"/>
      <c r="P45" s="95">
        <v>3.756</v>
      </c>
      <c r="Q45" s="95">
        <v>3.787</v>
      </c>
      <c r="R45" s="99">
        <f t="shared" si="24"/>
        <v>3.837</v>
      </c>
      <c r="S45" s="95">
        <v>3.882</v>
      </c>
      <c r="T45" s="94"/>
      <c r="U45" s="94"/>
      <c r="V45" s="94">
        <v>0.05</v>
      </c>
      <c r="W45" s="95">
        <v>2.43</v>
      </c>
      <c r="X45" s="95">
        <v>2.44</v>
      </c>
      <c r="Y45" s="99">
        <f t="shared" ref="Y45:Y54" si="26">X45+0.017</f>
        <v>2.457</v>
      </c>
      <c r="Z45" s="96"/>
      <c r="AA45" s="96">
        <f t="shared" si="4"/>
        <v>0.005</v>
      </c>
      <c r="AB45" s="95">
        <v>1.247</v>
      </c>
      <c r="AC45" s="99">
        <f t="shared" si="19"/>
        <v>1.257</v>
      </c>
      <c r="AD45" s="103">
        <f t="shared" si="6"/>
        <v>1.272</v>
      </c>
      <c r="AE45" s="103">
        <f t="shared" si="7"/>
        <v>1.282</v>
      </c>
    </row>
    <row r="46">
      <c r="A46" s="97">
        <f t="shared" si="3"/>
        <v>42</v>
      </c>
      <c r="B46" s="92">
        <v>119.0</v>
      </c>
      <c r="C46" s="92">
        <v>30000.0</v>
      </c>
      <c r="D46" s="66">
        <f t="shared" si="1"/>
        <v>1905</v>
      </c>
      <c r="E46" s="66">
        <f t="shared" si="2"/>
        <v>337800</v>
      </c>
      <c r="F46" s="96">
        <f t="shared" si="17"/>
        <v>0.077</v>
      </c>
      <c r="G46" s="95">
        <v>3.525</v>
      </c>
      <c r="H46" s="95">
        <v>3.534</v>
      </c>
      <c r="I46" s="99">
        <f t="shared" si="20"/>
        <v>3.554</v>
      </c>
      <c r="J46" s="94"/>
      <c r="K46" s="94"/>
      <c r="L46" s="94"/>
      <c r="M46" s="94"/>
      <c r="N46" s="96"/>
      <c r="O46" s="96">
        <f>S46-S45</f>
        <v>0.083</v>
      </c>
      <c r="P46" s="99">
        <f>Q46-0.031</f>
        <v>3.839</v>
      </c>
      <c r="Q46" s="95">
        <v>3.87</v>
      </c>
      <c r="R46" s="99">
        <f t="shared" si="24"/>
        <v>3.92</v>
      </c>
      <c r="S46" s="95">
        <f>R46+0.045</f>
        <v>3.965</v>
      </c>
      <c r="T46" s="95">
        <f>S46+0.05</f>
        <v>4.015</v>
      </c>
      <c r="U46" s="95"/>
      <c r="V46" s="94">
        <v>0.05</v>
      </c>
      <c r="W46" s="95">
        <v>2.48</v>
      </c>
      <c r="X46" s="95">
        <f t="shared" ref="X46:X58" si="27">W46+0.01</f>
        <v>2.49</v>
      </c>
      <c r="Y46" s="99">
        <f t="shared" si="26"/>
        <v>2.507</v>
      </c>
      <c r="Z46" s="96"/>
      <c r="AA46" s="96">
        <f t="shared" si="4"/>
        <v>0.005</v>
      </c>
      <c r="AB46" s="95">
        <v>1.252</v>
      </c>
      <c r="AC46" s="99">
        <f t="shared" si="19"/>
        <v>1.262</v>
      </c>
      <c r="AD46" s="103">
        <f t="shared" si="6"/>
        <v>1.277</v>
      </c>
      <c r="AE46" s="103">
        <f t="shared" si="7"/>
        <v>1.287</v>
      </c>
    </row>
    <row r="47">
      <c r="A47" s="97">
        <f t="shared" si="3"/>
        <v>43</v>
      </c>
      <c r="B47" s="92">
        <v>119.0</v>
      </c>
      <c r="C47" s="92">
        <v>30000.0</v>
      </c>
      <c r="D47" s="66">
        <f t="shared" si="1"/>
        <v>2024</v>
      </c>
      <c r="E47" s="66">
        <f t="shared" si="2"/>
        <v>367800</v>
      </c>
      <c r="F47" s="96">
        <f t="shared" si="17"/>
        <v>0.076</v>
      </c>
      <c r="G47" s="99">
        <f t="shared" ref="G47:G49" si="28">H47-0.01</f>
        <v>3.601</v>
      </c>
      <c r="H47" s="95">
        <v>3.611</v>
      </c>
      <c r="I47" s="99">
        <f t="shared" si="20"/>
        <v>3.631</v>
      </c>
      <c r="J47" s="94"/>
      <c r="K47" s="94"/>
      <c r="L47" s="94"/>
      <c r="M47" s="94"/>
      <c r="N47" s="96"/>
      <c r="O47" s="96"/>
      <c r="P47" s="96"/>
      <c r="Q47" s="96"/>
      <c r="R47" s="96">
        <f t="shared" si="24"/>
        <v>0.05</v>
      </c>
      <c r="S47" s="94"/>
      <c r="T47" s="94"/>
      <c r="U47" s="94"/>
      <c r="V47" s="94">
        <f t="shared" ref="V47:V55" si="29">W47-W46</f>
        <v>0.05</v>
      </c>
      <c r="W47" s="95">
        <v>2.53</v>
      </c>
      <c r="X47" s="95">
        <f t="shared" si="27"/>
        <v>2.54</v>
      </c>
      <c r="Y47" s="99">
        <f t="shared" si="26"/>
        <v>2.557</v>
      </c>
      <c r="Z47" s="96"/>
      <c r="AA47" s="96">
        <f t="shared" si="4"/>
        <v>0.005</v>
      </c>
      <c r="AB47" s="99">
        <f t="shared" ref="AB47:AB62" si="30">AB46+0.005</f>
        <v>1.257</v>
      </c>
      <c r="AC47" s="99">
        <f t="shared" si="19"/>
        <v>1.267</v>
      </c>
      <c r="AD47" s="103">
        <f t="shared" si="6"/>
        <v>1.282</v>
      </c>
      <c r="AE47" s="103">
        <f t="shared" si="7"/>
        <v>1.292</v>
      </c>
    </row>
    <row r="48">
      <c r="A48" s="97">
        <f t="shared" si="3"/>
        <v>44</v>
      </c>
      <c r="B48" s="92">
        <v>119.0</v>
      </c>
      <c r="C48" s="92">
        <v>30000.0</v>
      </c>
      <c r="D48" s="66">
        <f t="shared" si="1"/>
        <v>2143</v>
      </c>
      <c r="E48" s="66">
        <f t="shared" si="2"/>
        <v>397800</v>
      </c>
      <c r="F48" s="96">
        <f t="shared" si="17"/>
        <v>0.076</v>
      </c>
      <c r="G48" s="99">
        <f t="shared" si="28"/>
        <v>3.677</v>
      </c>
      <c r="H48" s="95">
        <v>3.687</v>
      </c>
      <c r="I48" s="99">
        <f t="shared" si="20"/>
        <v>3.707</v>
      </c>
      <c r="J48" s="94"/>
      <c r="K48" s="94"/>
      <c r="L48" s="94"/>
      <c r="M48" s="94"/>
      <c r="N48" s="96"/>
      <c r="O48" s="96"/>
      <c r="P48" s="96"/>
      <c r="Q48" s="96"/>
      <c r="R48" s="96">
        <f t="shared" si="24"/>
        <v>0.05</v>
      </c>
      <c r="S48" s="94"/>
      <c r="T48" s="94"/>
      <c r="U48" s="94"/>
      <c r="V48" s="94">
        <f t="shared" si="29"/>
        <v>0.05</v>
      </c>
      <c r="W48" s="95">
        <v>2.58</v>
      </c>
      <c r="X48" s="95">
        <f t="shared" si="27"/>
        <v>2.59</v>
      </c>
      <c r="Y48" s="99">
        <f t="shared" si="26"/>
        <v>2.607</v>
      </c>
      <c r="Z48" s="96"/>
      <c r="AA48" s="96">
        <f t="shared" si="4"/>
        <v>0.005</v>
      </c>
      <c r="AB48" s="99">
        <f t="shared" si="30"/>
        <v>1.262</v>
      </c>
      <c r="AC48" s="99">
        <f t="shared" si="19"/>
        <v>1.272</v>
      </c>
      <c r="AD48" s="103">
        <f t="shared" si="6"/>
        <v>1.287</v>
      </c>
      <c r="AE48" s="103">
        <f t="shared" si="7"/>
        <v>1.297</v>
      </c>
    </row>
    <row r="49">
      <c r="A49" s="97">
        <f t="shared" si="3"/>
        <v>45</v>
      </c>
      <c r="B49" s="92">
        <v>119.0</v>
      </c>
      <c r="C49" s="92">
        <v>30000.0</v>
      </c>
      <c r="D49" s="66">
        <f t="shared" si="1"/>
        <v>2262</v>
      </c>
      <c r="E49" s="66">
        <f t="shared" si="2"/>
        <v>427800</v>
      </c>
      <c r="F49" s="96">
        <f t="shared" si="17"/>
        <v>0.077</v>
      </c>
      <c r="G49" s="99">
        <f t="shared" si="28"/>
        <v>3.754</v>
      </c>
      <c r="H49" s="95">
        <v>3.764</v>
      </c>
      <c r="I49" s="99">
        <f t="shared" si="20"/>
        <v>3.784</v>
      </c>
      <c r="J49" s="94"/>
      <c r="K49" s="94"/>
      <c r="L49" s="94"/>
      <c r="M49" s="94"/>
      <c r="N49" s="96"/>
      <c r="O49" s="96"/>
      <c r="P49" s="96"/>
      <c r="Q49" s="96"/>
      <c r="R49" s="96">
        <f t="shared" si="24"/>
        <v>0.05</v>
      </c>
      <c r="S49" s="96"/>
      <c r="T49" s="96"/>
      <c r="U49" s="96"/>
      <c r="V49" s="94">
        <f t="shared" si="29"/>
        <v>0.05</v>
      </c>
      <c r="W49" s="95">
        <v>2.63</v>
      </c>
      <c r="X49" s="95">
        <f t="shared" si="27"/>
        <v>2.64</v>
      </c>
      <c r="Y49" s="99">
        <f t="shared" si="26"/>
        <v>2.657</v>
      </c>
      <c r="Z49" s="96"/>
      <c r="AA49" s="96">
        <f t="shared" si="4"/>
        <v>0.005</v>
      </c>
      <c r="AB49" s="99">
        <f t="shared" si="30"/>
        <v>1.267</v>
      </c>
      <c r="AC49" s="99">
        <f t="shared" si="19"/>
        <v>1.277</v>
      </c>
      <c r="AD49" s="103">
        <f t="shared" si="6"/>
        <v>1.292</v>
      </c>
      <c r="AE49" s="103">
        <f t="shared" si="7"/>
        <v>1.302</v>
      </c>
    </row>
    <row r="50">
      <c r="A50" s="97">
        <f t="shared" si="3"/>
        <v>46</v>
      </c>
      <c r="B50" s="92">
        <v>119.0</v>
      </c>
      <c r="C50" s="92">
        <v>30000.0</v>
      </c>
      <c r="D50" s="66">
        <f t="shared" si="1"/>
        <v>2381</v>
      </c>
      <c r="E50" s="66">
        <f t="shared" si="2"/>
        <v>457800</v>
      </c>
      <c r="F50" s="98">
        <f t="shared" si="17"/>
        <v>0.392</v>
      </c>
      <c r="G50" s="95">
        <v>4.146</v>
      </c>
      <c r="H50" s="99">
        <f t="shared" ref="H50:H53" si="31">G50+0.01</f>
        <v>4.156</v>
      </c>
      <c r="I50" s="99">
        <f t="shared" si="20"/>
        <v>4.176</v>
      </c>
      <c r="J50" s="94"/>
      <c r="K50" s="94"/>
      <c r="L50" s="94"/>
      <c r="M50" s="94"/>
      <c r="N50" s="96"/>
      <c r="O50" s="96"/>
      <c r="P50" s="96"/>
      <c r="Q50" s="96"/>
      <c r="R50" s="96">
        <f t="shared" si="24"/>
        <v>0.05</v>
      </c>
      <c r="S50" s="96"/>
      <c r="T50" s="96"/>
      <c r="U50" s="96"/>
      <c r="V50" s="94">
        <f t="shared" si="29"/>
        <v>0.05</v>
      </c>
      <c r="W50" s="95">
        <v>2.68</v>
      </c>
      <c r="X50" s="95">
        <f t="shared" si="27"/>
        <v>2.69</v>
      </c>
      <c r="Y50" s="99">
        <f t="shared" si="26"/>
        <v>2.707</v>
      </c>
      <c r="Z50" s="96"/>
      <c r="AA50" s="96">
        <f t="shared" si="4"/>
        <v>0.005</v>
      </c>
      <c r="AB50" s="99">
        <f t="shared" si="30"/>
        <v>1.272</v>
      </c>
      <c r="AC50" s="99">
        <f t="shared" si="19"/>
        <v>1.282</v>
      </c>
      <c r="AD50" s="103">
        <f t="shared" si="6"/>
        <v>1.297</v>
      </c>
      <c r="AE50" s="103">
        <f t="shared" si="7"/>
        <v>1.307</v>
      </c>
    </row>
    <row r="51">
      <c r="A51" s="97">
        <f t="shared" si="3"/>
        <v>47</v>
      </c>
      <c r="B51" s="92">
        <v>119.0</v>
      </c>
      <c r="C51" s="92">
        <v>30000.0</v>
      </c>
      <c r="D51" s="66">
        <f t="shared" si="1"/>
        <v>2500</v>
      </c>
      <c r="E51" s="66">
        <f t="shared" si="2"/>
        <v>487800</v>
      </c>
      <c r="F51" s="96">
        <f t="shared" si="17"/>
        <v>0.085</v>
      </c>
      <c r="G51" s="95">
        <v>4.231</v>
      </c>
      <c r="H51" s="99">
        <f t="shared" si="31"/>
        <v>4.241</v>
      </c>
      <c r="I51" s="99">
        <f t="shared" si="20"/>
        <v>4.261</v>
      </c>
      <c r="J51" s="94"/>
      <c r="K51" s="94"/>
      <c r="L51" s="94"/>
      <c r="M51" s="94"/>
      <c r="N51" s="96"/>
      <c r="O51" s="96"/>
      <c r="P51" s="96"/>
      <c r="Q51" s="96"/>
      <c r="R51" s="96">
        <f t="shared" si="24"/>
        <v>0.05</v>
      </c>
      <c r="S51" s="96"/>
      <c r="T51" s="96"/>
      <c r="U51" s="96"/>
      <c r="V51" s="94">
        <f t="shared" si="29"/>
        <v>0.05</v>
      </c>
      <c r="W51" s="95">
        <v>2.73</v>
      </c>
      <c r="X51" s="95">
        <f t="shared" si="27"/>
        <v>2.74</v>
      </c>
      <c r="Y51" s="99">
        <f t="shared" si="26"/>
        <v>2.757</v>
      </c>
      <c r="Z51" s="96"/>
      <c r="AA51" s="96">
        <f t="shared" si="4"/>
        <v>0.005</v>
      </c>
      <c r="AB51" s="99">
        <f t="shared" si="30"/>
        <v>1.277</v>
      </c>
      <c r="AC51" s="99">
        <f t="shared" si="19"/>
        <v>1.287</v>
      </c>
      <c r="AD51" s="103">
        <f t="shared" si="6"/>
        <v>1.302</v>
      </c>
      <c r="AE51" s="103">
        <f t="shared" si="7"/>
        <v>1.312</v>
      </c>
    </row>
    <row r="52">
      <c r="A52" s="97">
        <f t="shared" si="3"/>
        <v>48</v>
      </c>
      <c r="B52" s="92">
        <v>119.0</v>
      </c>
      <c r="C52" s="92">
        <v>30000.0</v>
      </c>
      <c r="D52" s="66">
        <f t="shared" si="1"/>
        <v>2619</v>
      </c>
      <c r="E52" s="66">
        <f t="shared" si="2"/>
        <v>517800</v>
      </c>
      <c r="F52" s="96">
        <f t="shared" si="17"/>
        <v>0.085</v>
      </c>
      <c r="G52" s="95">
        <v>4.316</v>
      </c>
      <c r="H52" s="99">
        <f t="shared" si="31"/>
        <v>4.326</v>
      </c>
      <c r="I52" s="99">
        <f t="shared" si="20"/>
        <v>4.346</v>
      </c>
      <c r="J52" s="94"/>
      <c r="K52" s="94"/>
      <c r="L52" s="94"/>
      <c r="M52" s="94"/>
      <c r="N52" s="96"/>
      <c r="O52" s="96"/>
      <c r="P52" s="96"/>
      <c r="Q52" s="96"/>
      <c r="R52" s="96">
        <f t="shared" si="24"/>
        <v>0.05</v>
      </c>
      <c r="S52" s="96"/>
      <c r="T52" s="96"/>
      <c r="U52" s="96"/>
      <c r="V52" s="94">
        <f t="shared" si="29"/>
        <v>0.05</v>
      </c>
      <c r="W52" s="95">
        <v>2.78</v>
      </c>
      <c r="X52" s="95">
        <f t="shared" si="27"/>
        <v>2.79</v>
      </c>
      <c r="Y52" s="99">
        <f t="shared" si="26"/>
        <v>2.807</v>
      </c>
      <c r="Z52" s="96"/>
      <c r="AA52" s="96">
        <f t="shared" si="4"/>
        <v>0.005</v>
      </c>
      <c r="AB52" s="99">
        <f t="shared" si="30"/>
        <v>1.282</v>
      </c>
      <c r="AC52" s="99">
        <f t="shared" si="19"/>
        <v>1.292</v>
      </c>
      <c r="AD52" s="103">
        <f t="shared" si="6"/>
        <v>1.307</v>
      </c>
      <c r="AE52" s="103">
        <f t="shared" si="7"/>
        <v>1.317</v>
      </c>
    </row>
    <row r="53">
      <c r="A53" s="97">
        <f t="shared" si="3"/>
        <v>49</v>
      </c>
      <c r="B53" s="92">
        <v>119.0</v>
      </c>
      <c r="C53" s="92">
        <v>30000.0</v>
      </c>
      <c r="D53" s="66">
        <f t="shared" si="1"/>
        <v>2738</v>
      </c>
      <c r="E53" s="66">
        <f t="shared" si="2"/>
        <v>547800</v>
      </c>
      <c r="F53" s="96">
        <f t="shared" si="17"/>
        <v>0.085</v>
      </c>
      <c r="G53" s="95">
        <v>4.401</v>
      </c>
      <c r="H53" s="99">
        <f t="shared" si="31"/>
        <v>4.411</v>
      </c>
      <c r="I53" s="99">
        <f t="shared" si="20"/>
        <v>4.431</v>
      </c>
      <c r="J53" s="96"/>
      <c r="K53" s="96"/>
      <c r="L53" s="96"/>
      <c r="M53" s="96"/>
      <c r="N53" s="96"/>
      <c r="O53" s="96"/>
      <c r="P53" s="95">
        <v>4.42</v>
      </c>
      <c r="Q53" s="96"/>
      <c r="R53" s="96">
        <f t="shared" si="24"/>
        <v>0.05</v>
      </c>
      <c r="S53" s="96"/>
      <c r="T53" s="96"/>
      <c r="U53" s="96"/>
      <c r="V53" s="94">
        <f t="shared" si="29"/>
        <v>0.05</v>
      </c>
      <c r="W53" s="95">
        <v>2.83</v>
      </c>
      <c r="X53" s="95">
        <f t="shared" si="27"/>
        <v>2.84</v>
      </c>
      <c r="Y53" s="99">
        <f t="shared" si="26"/>
        <v>2.857</v>
      </c>
      <c r="Z53" s="96"/>
      <c r="AA53" s="96">
        <f t="shared" si="4"/>
        <v>0.005</v>
      </c>
      <c r="AB53" s="99">
        <f t="shared" si="30"/>
        <v>1.287</v>
      </c>
      <c r="AC53" s="99">
        <f t="shared" si="19"/>
        <v>1.297</v>
      </c>
      <c r="AD53" s="103">
        <f t="shared" si="6"/>
        <v>1.312</v>
      </c>
      <c r="AE53" s="103">
        <f t="shared" si="7"/>
        <v>1.322</v>
      </c>
    </row>
    <row r="54">
      <c r="A54" s="97">
        <f t="shared" si="3"/>
        <v>50</v>
      </c>
      <c r="B54" s="92">
        <v>178.0</v>
      </c>
      <c r="C54" s="92">
        <v>75000.0</v>
      </c>
      <c r="D54" s="66">
        <f t="shared" si="1"/>
        <v>2916</v>
      </c>
      <c r="E54" s="66">
        <f t="shared" si="2"/>
        <v>622800</v>
      </c>
      <c r="F54" s="100">
        <f t="shared" si="17"/>
        <v>0.09</v>
      </c>
      <c r="G54" s="95">
        <v>4.491</v>
      </c>
      <c r="H54" s="99">
        <f t="shared" ref="H54:H65" si="32">I54-0.02</f>
        <v>4.501</v>
      </c>
      <c r="I54" s="99">
        <f t="shared" ref="I54:I55" si="33">I55-F56</f>
        <v>4.521</v>
      </c>
      <c r="J54" s="96"/>
      <c r="K54" s="96"/>
      <c r="L54" s="96"/>
      <c r="M54" s="96"/>
      <c r="N54" s="96"/>
      <c r="O54" s="96"/>
      <c r="P54" s="96"/>
      <c r="Q54" s="96"/>
      <c r="R54" s="96">
        <f t="shared" si="24"/>
        <v>0.05</v>
      </c>
      <c r="S54" s="96"/>
      <c r="T54" s="96"/>
      <c r="U54" s="96"/>
      <c r="V54" s="105">
        <f t="shared" si="29"/>
        <v>0.06</v>
      </c>
      <c r="W54" s="95">
        <v>2.89</v>
      </c>
      <c r="X54" s="95">
        <f t="shared" si="27"/>
        <v>2.9</v>
      </c>
      <c r="Y54" s="99">
        <f t="shared" si="26"/>
        <v>2.917</v>
      </c>
      <c r="Z54" s="96"/>
      <c r="AA54" s="96">
        <f t="shared" si="4"/>
        <v>0.005</v>
      </c>
      <c r="AB54" s="99">
        <f t="shared" si="30"/>
        <v>1.292</v>
      </c>
      <c r="AC54" s="99">
        <f t="shared" si="19"/>
        <v>1.302</v>
      </c>
      <c r="AD54" s="103">
        <f t="shared" si="6"/>
        <v>1.317</v>
      </c>
      <c r="AE54" s="103">
        <f t="shared" si="7"/>
        <v>1.327</v>
      </c>
    </row>
    <row r="55">
      <c r="A55" s="97">
        <f t="shared" si="3"/>
        <v>51</v>
      </c>
      <c r="B55" s="92">
        <v>178.0</v>
      </c>
      <c r="C55" s="92">
        <v>75000.0</v>
      </c>
      <c r="D55" s="66">
        <f t="shared" si="1"/>
        <v>3094</v>
      </c>
      <c r="E55" s="66">
        <f t="shared" si="2"/>
        <v>697800</v>
      </c>
      <c r="F55" s="96">
        <f t="shared" ref="F55:F79" si="34">I55-I54</f>
        <v>0.09</v>
      </c>
      <c r="G55" s="95">
        <v>4.581</v>
      </c>
      <c r="H55" s="99">
        <f t="shared" si="32"/>
        <v>4.591</v>
      </c>
      <c r="I55" s="99">
        <f t="shared" si="33"/>
        <v>4.611</v>
      </c>
      <c r="J55" s="96"/>
      <c r="K55" s="96"/>
      <c r="L55" s="96"/>
      <c r="M55" s="96"/>
      <c r="N55" s="96"/>
      <c r="O55" s="96"/>
      <c r="P55" s="96"/>
      <c r="Q55" s="96"/>
      <c r="R55" s="96">
        <f t="shared" si="24"/>
        <v>0.05</v>
      </c>
      <c r="S55" s="96"/>
      <c r="T55" s="96"/>
      <c r="U55" s="96"/>
      <c r="V55" s="94">
        <f t="shared" si="29"/>
        <v>0.06</v>
      </c>
      <c r="W55" s="99">
        <f t="shared" ref="W55:W58" si="35">W54+V54</f>
        <v>2.95</v>
      </c>
      <c r="X55" s="95">
        <f t="shared" si="27"/>
        <v>2.96</v>
      </c>
      <c r="Y55" s="95">
        <f t="shared" ref="Y55:Y58" si="36">Y54+V54</f>
        <v>2.977</v>
      </c>
      <c r="Z55" s="94"/>
      <c r="AA55" s="96">
        <f t="shared" si="4"/>
        <v>0.005</v>
      </c>
      <c r="AB55" s="99">
        <f t="shared" si="30"/>
        <v>1.297</v>
      </c>
      <c r="AC55" s="99">
        <f t="shared" si="19"/>
        <v>1.307</v>
      </c>
      <c r="AD55" s="103">
        <f t="shared" si="6"/>
        <v>1.322</v>
      </c>
      <c r="AE55" s="103">
        <f t="shared" si="7"/>
        <v>1.332</v>
      </c>
    </row>
    <row r="56">
      <c r="A56" s="97">
        <f t="shared" si="3"/>
        <v>52</v>
      </c>
      <c r="B56" s="92">
        <v>178.0</v>
      </c>
      <c r="C56" s="92">
        <v>75000.0</v>
      </c>
      <c r="D56" s="66">
        <f t="shared" si="1"/>
        <v>3272</v>
      </c>
      <c r="E56" s="66">
        <f t="shared" si="2"/>
        <v>772800</v>
      </c>
      <c r="F56" s="96">
        <f t="shared" si="34"/>
        <v>0.09</v>
      </c>
      <c r="G56" s="95">
        <v>4.671</v>
      </c>
      <c r="H56" s="99">
        <f t="shared" si="32"/>
        <v>4.681</v>
      </c>
      <c r="I56" s="95">
        <v>4.701</v>
      </c>
      <c r="J56" s="96"/>
      <c r="K56" s="96"/>
      <c r="L56" s="96"/>
      <c r="M56" s="96"/>
      <c r="N56" s="96"/>
      <c r="O56" s="96"/>
      <c r="P56" s="96"/>
      <c r="Q56" s="96"/>
      <c r="R56" s="96">
        <f t="shared" si="24"/>
        <v>0.05</v>
      </c>
      <c r="S56" s="96"/>
      <c r="T56" s="96"/>
      <c r="U56" s="96"/>
      <c r="V56" s="96">
        <f t="shared" ref="V56:V81" si="37">Y56-Y55</f>
        <v>0.06</v>
      </c>
      <c r="W56" s="99">
        <f t="shared" si="35"/>
        <v>3.01</v>
      </c>
      <c r="X56" s="95">
        <f t="shared" si="27"/>
        <v>3.02</v>
      </c>
      <c r="Y56" s="95">
        <f t="shared" si="36"/>
        <v>3.037</v>
      </c>
      <c r="Z56" s="94"/>
      <c r="AA56" s="96">
        <f t="shared" si="4"/>
        <v>0.005</v>
      </c>
      <c r="AB56" s="99">
        <f t="shared" si="30"/>
        <v>1.302</v>
      </c>
      <c r="AC56" s="99">
        <f t="shared" si="19"/>
        <v>1.312</v>
      </c>
      <c r="AD56" s="103">
        <f t="shared" si="6"/>
        <v>1.327</v>
      </c>
      <c r="AE56" s="103">
        <f t="shared" si="7"/>
        <v>1.337</v>
      </c>
    </row>
    <row r="57">
      <c r="A57" s="97">
        <f t="shared" si="3"/>
        <v>53</v>
      </c>
      <c r="B57" s="92">
        <v>178.0</v>
      </c>
      <c r="C57" s="92">
        <v>75000.0</v>
      </c>
      <c r="D57" s="66">
        <f t="shared" si="1"/>
        <v>3450</v>
      </c>
      <c r="E57" s="66">
        <f t="shared" si="2"/>
        <v>847800</v>
      </c>
      <c r="F57" s="96">
        <f t="shared" si="34"/>
        <v>0.09</v>
      </c>
      <c r="G57" s="99">
        <f t="shared" ref="G57:G65" si="38">H57-0.01</f>
        <v>4.761</v>
      </c>
      <c r="H57" s="99">
        <f t="shared" si="32"/>
        <v>4.771</v>
      </c>
      <c r="I57" s="95">
        <v>4.791</v>
      </c>
      <c r="J57" s="95"/>
      <c r="K57" s="95"/>
      <c r="L57" s="95"/>
      <c r="M57" s="95"/>
      <c r="N57" s="96"/>
      <c r="O57" s="96"/>
      <c r="P57" s="95">
        <v>4.76</v>
      </c>
      <c r="Q57" s="95">
        <v>4.791</v>
      </c>
      <c r="R57" s="99">
        <f t="shared" si="24"/>
        <v>4.841</v>
      </c>
      <c r="S57" s="95">
        <v>4.886</v>
      </c>
      <c r="T57" s="95">
        <f t="shared" ref="T57:T59" si="39">S57+0.05</f>
        <v>4.936</v>
      </c>
      <c r="U57" s="95"/>
      <c r="V57" s="96">
        <f t="shared" si="37"/>
        <v>0.06</v>
      </c>
      <c r="W57" s="99">
        <f t="shared" si="35"/>
        <v>3.07</v>
      </c>
      <c r="X57" s="95">
        <f t="shared" si="27"/>
        <v>3.08</v>
      </c>
      <c r="Y57" s="95">
        <f t="shared" si="36"/>
        <v>3.097</v>
      </c>
      <c r="Z57" s="94"/>
      <c r="AA57" s="96">
        <f t="shared" si="4"/>
        <v>0.005</v>
      </c>
      <c r="AB57" s="99">
        <f t="shared" si="30"/>
        <v>1.307</v>
      </c>
      <c r="AC57" s="99">
        <f t="shared" si="19"/>
        <v>1.317</v>
      </c>
      <c r="AD57" s="102">
        <v>1.332</v>
      </c>
      <c r="AE57" s="103">
        <f t="shared" si="7"/>
        <v>1.342</v>
      </c>
    </row>
    <row r="58">
      <c r="A58" s="97">
        <f t="shared" si="3"/>
        <v>54</v>
      </c>
      <c r="B58" s="92">
        <v>178.0</v>
      </c>
      <c r="C58" s="92">
        <v>75000.0</v>
      </c>
      <c r="D58" s="66">
        <f t="shared" si="1"/>
        <v>3628</v>
      </c>
      <c r="E58" s="66">
        <f t="shared" si="2"/>
        <v>922800</v>
      </c>
      <c r="F58" s="96">
        <f t="shared" si="34"/>
        <v>0.09</v>
      </c>
      <c r="G58" s="99">
        <f t="shared" si="38"/>
        <v>4.851</v>
      </c>
      <c r="H58" s="99">
        <f t="shared" si="32"/>
        <v>4.861</v>
      </c>
      <c r="I58" s="95">
        <v>4.881</v>
      </c>
      <c r="J58" s="95"/>
      <c r="K58" s="95"/>
      <c r="L58" s="95"/>
      <c r="M58" s="95"/>
      <c r="N58" s="96"/>
      <c r="O58" s="96">
        <f t="shared" ref="O58:O64" si="40">Q58-Q57</f>
        <v>0.085</v>
      </c>
      <c r="P58" s="95">
        <v>4.845</v>
      </c>
      <c r="Q58" s="95">
        <v>4.876</v>
      </c>
      <c r="R58" s="95">
        <v>4.926</v>
      </c>
      <c r="S58" s="95">
        <v>4.971</v>
      </c>
      <c r="T58" s="95">
        <f t="shared" si="39"/>
        <v>5.021</v>
      </c>
      <c r="U58" s="95"/>
      <c r="V58" s="96">
        <f t="shared" si="37"/>
        <v>0.06</v>
      </c>
      <c r="W58" s="99">
        <f t="shared" si="35"/>
        <v>3.13</v>
      </c>
      <c r="X58" s="95">
        <f t="shared" si="27"/>
        <v>3.14</v>
      </c>
      <c r="Y58" s="95">
        <f t="shared" si="36"/>
        <v>3.157</v>
      </c>
      <c r="Z58" s="94"/>
      <c r="AA58" s="96">
        <f t="shared" si="4"/>
        <v>0.005</v>
      </c>
      <c r="AB58" s="99">
        <f t="shared" si="30"/>
        <v>1.312</v>
      </c>
      <c r="AC58" s="99">
        <f t="shared" si="19"/>
        <v>1.322</v>
      </c>
      <c r="AD58" s="102">
        <v>1.337</v>
      </c>
      <c r="AE58" s="103">
        <f t="shared" si="7"/>
        <v>1.347</v>
      </c>
    </row>
    <row r="59">
      <c r="A59" s="97">
        <f t="shared" si="3"/>
        <v>55</v>
      </c>
      <c r="B59" s="92">
        <v>178.0</v>
      </c>
      <c r="C59" s="92">
        <v>75000.0</v>
      </c>
      <c r="D59" s="66">
        <f t="shared" si="1"/>
        <v>3806</v>
      </c>
      <c r="E59" s="66">
        <f t="shared" si="2"/>
        <v>997800</v>
      </c>
      <c r="F59" s="96">
        <f t="shared" si="34"/>
        <v>0.09</v>
      </c>
      <c r="G59" s="99">
        <f t="shared" si="38"/>
        <v>4.941</v>
      </c>
      <c r="H59" s="99">
        <f t="shared" si="32"/>
        <v>4.951</v>
      </c>
      <c r="I59" s="95">
        <v>4.971</v>
      </c>
      <c r="J59" s="95"/>
      <c r="K59" s="95"/>
      <c r="L59" s="95"/>
      <c r="M59" s="95"/>
      <c r="N59" s="96"/>
      <c r="O59" s="96">
        <f t="shared" si="40"/>
        <v>0.085</v>
      </c>
      <c r="P59" s="99">
        <f t="shared" ref="P59:P83" si="41">Q59-0.031</f>
        <v>4.93</v>
      </c>
      <c r="Q59" s="99">
        <f>Q58+O58</f>
        <v>4.961</v>
      </c>
      <c r="R59" s="99">
        <f t="shared" ref="R59:R83" si="42">S59-0.045</f>
        <v>5.011</v>
      </c>
      <c r="S59" s="95">
        <v>5.056</v>
      </c>
      <c r="T59" s="95">
        <f t="shared" si="39"/>
        <v>5.106</v>
      </c>
      <c r="U59" s="95"/>
      <c r="V59" s="96">
        <f t="shared" si="37"/>
        <v>0.06</v>
      </c>
      <c r="W59" s="95">
        <v>3.19</v>
      </c>
      <c r="X59" s="95">
        <v>3.2</v>
      </c>
      <c r="Y59" s="95">
        <v>3.217</v>
      </c>
      <c r="Z59" s="95"/>
      <c r="AA59" s="96">
        <f t="shared" si="4"/>
        <v>0.005</v>
      </c>
      <c r="AB59" s="99">
        <f t="shared" si="30"/>
        <v>1.317</v>
      </c>
      <c r="AC59" s="99">
        <f t="shared" si="19"/>
        <v>1.327</v>
      </c>
      <c r="AD59" s="102">
        <v>1.342</v>
      </c>
      <c r="AE59" s="103">
        <f t="shared" si="7"/>
        <v>1.352</v>
      </c>
    </row>
    <row r="60">
      <c r="A60" s="97">
        <f t="shared" si="3"/>
        <v>56</v>
      </c>
      <c r="B60" s="92">
        <v>178.0</v>
      </c>
      <c r="C60" s="92">
        <v>75000.0</v>
      </c>
      <c r="D60" s="66">
        <f t="shared" si="1"/>
        <v>3984</v>
      </c>
      <c r="E60" s="66">
        <f t="shared" si="2"/>
        <v>1072800</v>
      </c>
      <c r="F60" s="96">
        <f t="shared" si="34"/>
        <v>0.09</v>
      </c>
      <c r="G60" s="99">
        <f t="shared" si="38"/>
        <v>5.031</v>
      </c>
      <c r="H60" s="99">
        <f t="shared" si="32"/>
        <v>5.041</v>
      </c>
      <c r="I60" s="95">
        <v>5.061</v>
      </c>
      <c r="J60" s="95"/>
      <c r="K60" s="95"/>
      <c r="L60" s="95"/>
      <c r="M60" s="95"/>
      <c r="N60" s="96"/>
      <c r="O60" s="96">
        <f t="shared" si="40"/>
        <v>0.085</v>
      </c>
      <c r="P60" s="99">
        <f t="shared" si="41"/>
        <v>5.015</v>
      </c>
      <c r="Q60" s="95">
        <v>5.046</v>
      </c>
      <c r="R60" s="99">
        <f t="shared" si="42"/>
        <v>5.096</v>
      </c>
      <c r="S60" s="95">
        <v>5.141</v>
      </c>
      <c r="T60" s="95">
        <v>5.191</v>
      </c>
      <c r="U60" s="95"/>
      <c r="V60" s="96">
        <f t="shared" si="37"/>
        <v>0.06</v>
      </c>
      <c r="W60" s="99">
        <f t="shared" ref="W60:W63" si="43">W59+V60</f>
        <v>3.25</v>
      </c>
      <c r="X60" s="99">
        <f t="shared" ref="X60:X63" si="44">X59+V60</f>
        <v>3.26</v>
      </c>
      <c r="Y60" s="95">
        <v>3.277</v>
      </c>
      <c r="Z60" s="95"/>
      <c r="AA60" s="96">
        <f t="shared" si="4"/>
        <v>0.005</v>
      </c>
      <c r="AB60" s="99">
        <f t="shared" si="30"/>
        <v>1.322</v>
      </c>
      <c r="AC60" s="99">
        <f t="shared" si="19"/>
        <v>1.332</v>
      </c>
      <c r="AD60" s="102">
        <v>1.347</v>
      </c>
      <c r="AE60" s="103">
        <f t="shared" si="7"/>
        <v>1.357</v>
      </c>
    </row>
    <row r="61">
      <c r="A61" s="97">
        <f t="shared" si="3"/>
        <v>57</v>
      </c>
      <c r="B61" s="92">
        <v>178.0</v>
      </c>
      <c r="C61" s="92">
        <v>75000.0</v>
      </c>
      <c r="D61" s="66">
        <f t="shared" si="1"/>
        <v>4162</v>
      </c>
      <c r="E61" s="66">
        <f t="shared" si="2"/>
        <v>1147800</v>
      </c>
      <c r="F61" s="96">
        <f t="shared" si="34"/>
        <v>0.09</v>
      </c>
      <c r="G61" s="99">
        <f t="shared" si="38"/>
        <v>5.121</v>
      </c>
      <c r="H61" s="99">
        <f t="shared" si="32"/>
        <v>5.131</v>
      </c>
      <c r="I61" s="95">
        <v>5.151</v>
      </c>
      <c r="J61" s="95"/>
      <c r="K61" s="95"/>
      <c r="L61" s="95"/>
      <c r="M61" s="95"/>
      <c r="N61" s="96"/>
      <c r="O61" s="96">
        <f t="shared" si="40"/>
        <v>0.085</v>
      </c>
      <c r="P61" s="99">
        <f t="shared" si="41"/>
        <v>5.1</v>
      </c>
      <c r="Q61" s="95">
        <v>5.131</v>
      </c>
      <c r="R61" s="99">
        <f t="shared" si="42"/>
        <v>5.181</v>
      </c>
      <c r="S61" s="99">
        <f t="shared" ref="S61:S83" si="45">T61-0.05</f>
        <v>5.226</v>
      </c>
      <c r="T61" s="95">
        <v>5.276</v>
      </c>
      <c r="U61" s="95"/>
      <c r="V61" s="96">
        <f t="shared" si="37"/>
        <v>0.06</v>
      </c>
      <c r="W61" s="99">
        <f t="shared" si="43"/>
        <v>3.31</v>
      </c>
      <c r="X61" s="99">
        <f t="shared" si="44"/>
        <v>3.32</v>
      </c>
      <c r="Y61" s="95">
        <v>3.337</v>
      </c>
      <c r="Z61" s="95"/>
      <c r="AA61" s="96">
        <f t="shared" si="4"/>
        <v>0.005</v>
      </c>
      <c r="AB61" s="99">
        <f t="shared" si="30"/>
        <v>1.327</v>
      </c>
      <c r="AC61" s="99">
        <f t="shared" si="19"/>
        <v>1.337</v>
      </c>
      <c r="AD61" s="102">
        <v>1.352</v>
      </c>
      <c r="AE61" s="103">
        <f t="shared" si="7"/>
        <v>1.362</v>
      </c>
    </row>
    <row r="62">
      <c r="A62" s="97">
        <f t="shared" si="3"/>
        <v>58</v>
      </c>
      <c r="B62" s="92">
        <v>178.0</v>
      </c>
      <c r="C62" s="92">
        <v>75000.0</v>
      </c>
      <c r="D62" s="66">
        <f t="shared" si="1"/>
        <v>4340</v>
      </c>
      <c r="E62" s="66">
        <f t="shared" si="2"/>
        <v>1222800</v>
      </c>
      <c r="F62" s="96">
        <f t="shared" si="34"/>
        <v>0.09</v>
      </c>
      <c r="G62" s="99">
        <f t="shared" si="38"/>
        <v>5.211</v>
      </c>
      <c r="H62" s="99">
        <f t="shared" si="32"/>
        <v>5.221</v>
      </c>
      <c r="I62" s="95">
        <v>5.241</v>
      </c>
      <c r="J62" s="95"/>
      <c r="K62" s="95"/>
      <c r="L62" s="95"/>
      <c r="M62" s="95"/>
      <c r="N62" s="96"/>
      <c r="O62" s="96">
        <f t="shared" si="40"/>
        <v>0.085</v>
      </c>
      <c r="P62" s="99">
        <f t="shared" si="41"/>
        <v>5.185</v>
      </c>
      <c r="Q62" s="99">
        <f t="shared" ref="Q62:Q64" si="46">R62-0.05</f>
        <v>5.216</v>
      </c>
      <c r="R62" s="99">
        <f t="shared" si="42"/>
        <v>5.266</v>
      </c>
      <c r="S62" s="99">
        <f t="shared" si="45"/>
        <v>5.311</v>
      </c>
      <c r="T62" s="95">
        <v>5.361</v>
      </c>
      <c r="U62" s="95"/>
      <c r="V62" s="96">
        <f t="shared" si="37"/>
        <v>0.06</v>
      </c>
      <c r="W62" s="99">
        <f t="shared" si="43"/>
        <v>3.37</v>
      </c>
      <c r="X62" s="99">
        <f t="shared" si="44"/>
        <v>3.38</v>
      </c>
      <c r="Y62" s="95">
        <v>3.397</v>
      </c>
      <c r="Z62" s="95"/>
      <c r="AA62" s="96">
        <f t="shared" si="4"/>
        <v>0.005</v>
      </c>
      <c r="AB62" s="99">
        <f t="shared" si="30"/>
        <v>1.332</v>
      </c>
      <c r="AC62" s="99">
        <f t="shared" si="19"/>
        <v>1.342</v>
      </c>
      <c r="AD62" s="102">
        <v>1.357</v>
      </c>
      <c r="AE62" s="103">
        <f t="shared" si="7"/>
        <v>1.367</v>
      </c>
    </row>
    <row r="63">
      <c r="A63" s="97">
        <f t="shared" si="3"/>
        <v>59</v>
      </c>
      <c r="B63" s="92">
        <v>178.0</v>
      </c>
      <c r="C63" s="92">
        <v>145000.0</v>
      </c>
      <c r="D63" s="66">
        <f t="shared" si="1"/>
        <v>4518</v>
      </c>
      <c r="E63" s="66">
        <f t="shared" si="2"/>
        <v>1367800</v>
      </c>
      <c r="F63" s="96">
        <f t="shared" si="34"/>
        <v>0.09</v>
      </c>
      <c r="G63" s="99">
        <f t="shared" si="38"/>
        <v>5.301</v>
      </c>
      <c r="H63" s="99">
        <f t="shared" si="32"/>
        <v>5.311</v>
      </c>
      <c r="I63" s="95">
        <v>5.331</v>
      </c>
      <c r="J63" s="95"/>
      <c r="K63" s="95"/>
      <c r="L63" s="95"/>
      <c r="M63" s="95"/>
      <c r="N63" s="96"/>
      <c r="O63" s="96">
        <f t="shared" si="40"/>
        <v>0.085</v>
      </c>
      <c r="P63" s="99">
        <f t="shared" si="41"/>
        <v>5.27</v>
      </c>
      <c r="Q63" s="99">
        <f t="shared" si="46"/>
        <v>5.301</v>
      </c>
      <c r="R63" s="99">
        <f t="shared" si="42"/>
        <v>5.351</v>
      </c>
      <c r="S63" s="99">
        <f t="shared" si="45"/>
        <v>5.396</v>
      </c>
      <c r="T63" s="95">
        <v>5.446</v>
      </c>
      <c r="U63" s="95"/>
      <c r="V63" s="96">
        <f t="shared" si="37"/>
        <v>0.06</v>
      </c>
      <c r="W63" s="99">
        <f t="shared" si="43"/>
        <v>3.43</v>
      </c>
      <c r="X63" s="99">
        <f t="shared" si="44"/>
        <v>3.44</v>
      </c>
      <c r="Y63" s="95">
        <v>3.457</v>
      </c>
      <c r="Z63" s="95"/>
      <c r="AA63" s="96">
        <f t="shared" si="4"/>
        <v>0.005</v>
      </c>
      <c r="AB63" s="95">
        <v>1.337</v>
      </c>
      <c r="AC63" s="99">
        <f t="shared" si="19"/>
        <v>1.347</v>
      </c>
      <c r="AD63" s="102">
        <v>1.362</v>
      </c>
      <c r="AE63" s="103">
        <f t="shared" si="7"/>
        <v>1.372</v>
      </c>
    </row>
    <row r="64">
      <c r="A64" s="97">
        <f t="shared" si="3"/>
        <v>60</v>
      </c>
      <c r="B64" s="92">
        <v>248.0</v>
      </c>
      <c r="C64" s="92">
        <v>145000.0</v>
      </c>
      <c r="D64" s="104">
        <f t="shared" si="1"/>
        <v>4766</v>
      </c>
      <c r="E64" s="104">
        <f t="shared" si="2"/>
        <v>1512800</v>
      </c>
      <c r="F64" s="100">
        <f t="shared" si="34"/>
        <v>0.095</v>
      </c>
      <c r="G64" s="99">
        <f t="shared" si="38"/>
        <v>5.396</v>
      </c>
      <c r="H64" s="99">
        <f t="shared" si="32"/>
        <v>5.406</v>
      </c>
      <c r="I64" s="95">
        <v>5.426</v>
      </c>
      <c r="J64" s="95"/>
      <c r="K64" s="95"/>
      <c r="L64" s="95"/>
      <c r="M64" s="95"/>
      <c r="N64" s="96"/>
      <c r="O64" s="100">
        <f t="shared" si="40"/>
        <v>0.09</v>
      </c>
      <c r="P64" s="99">
        <f t="shared" si="41"/>
        <v>5.36</v>
      </c>
      <c r="Q64" s="99">
        <f t="shared" si="46"/>
        <v>5.391</v>
      </c>
      <c r="R64" s="99">
        <f t="shared" si="42"/>
        <v>5.441</v>
      </c>
      <c r="S64" s="99">
        <f t="shared" si="45"/>
        <v>5.486</v>
      </c>
      <c r="T64" s="95">
        <v>5.536</v>
      </c>
      <c r="U64" s="95"/>
      <c r="V64" s="98">
        <f t="shared" si="37"/>
        <v>0.567</v>
      </c>
      <c r="W64" s="95">
        <v>3.991</v>
      </c>
      <c r="X64" s="95">
        <v>4.003</v>
      </c>
      <c r="Y64" s="95">
        <v>4.024</v>
      </c>
      <c r="Z64" s="95"/>
      <c r="AA64" s="100">
        <f t="shared" si="4"/>
        <v>0.006</v>
      </c>
      <c r="AB64" s="95">
        <v>1.343</v>
      </c>
      <c r="AC64" s="99">
        <f t="shared" si="19"/>
        <v>1.353</v>
      </c>
      <c r="AD64" s="102">
        <v>1.368</v>
      </c>
      <c r="AE64" s="103">
        <f t="shared" si="7"/>
        <v>1.378</v>
      </c>
    </row>
    <row r="65">
      <c r="A65" s="97">
        <f t="shared" si="3"/>
        <v>61</v>
      </c>
      <c r="B65" s="92">
        <v>248.0</v>
      </c>
      <c r="C65" s="92">
        <v>145000.0</v>
      </c>
      <c r="D65" s="66">
        <f t="shared" si="1"/>
        <v>5014</v>
      </c>
      <c r="E65" s="66">
        <f t="shared" si="2"/>
        <v>1657800</v>
      </c>
      <c r="F65" s="96">
        <f t="shared" si="34"/>
        <v>0.095</v>
      </c>
      <c r="G65" s="99">
        <f t="shared" si="38"/>
        <v>5.491</v>
      </c>
      <c r="H65" s="99">
        <f t="shared" si="32"/>
        <v>5.501</v>
      </c>
      <c r="I65" s="95">
        <v>5.521</v>
      </c>
      <c r="J65" s="95"/>
      <c r="K65" s="95"/>
      <c r="L65" s="95"/>
      <c r="M65" s="95"/>
      <c r="N65" s="96"/>
      <c r="O65" s="96">
        <f t="shared" ref="O65:O83" si="47">T65-T64</f>
        <v>0.09</v>
      </c>
      <c r="P65" s="99">
        <f t="shared" si="41"/>
        <v>5.45</v>
      </c>
      <c r="Q65" s="99">
        <f>Q64+O65</f>
        <v>5.481</v>
      </c>
      <c r="R65" s="99">
        <f t="shared" si="42"/>
        <v>5.531</v>
      </c>
      <c r="S65" s="99">
        <f t="shared" si="45"/>
        <v>5.576</v>
      </c>
      <c r="T65" s="95">
        <v>5.626</v>
      </c>
      <c r="U65" s="95"/>
      <c r="V65" s="96">
        <f t="shared" si="37"/>
        <v>0.075</v>
      </c>
      <c r="W65" s="95">
        <f>W66-V66</f>
        <v>4.068</v>
      </c>
      <c r="X65" s="95">
        <f>X66-V66</f>
        <v>4.078</v>
      </c>
      <c r="Y65" s="95">
        <v>4.099</v>
      </c>
      <c r="Z65" s="95"/>
      <c r="AA65" s="96">
        <f t="shared" si="4"/>
        <v>0.006</v>
      </c>
      <c r="AB65" s="95">
        <v>1.349</v>
      </c>
      <c r="AC65" s="99">
        <f t="shared" si="19"/>
        <v>1.359</v>
      </c>
      <c r="AD65" s="102">
        <v>1.374</v>
      </c>
      <c r="AE65" s="103">
        <f t="shared" si="7"/>
        <v>1.384</v>
      </c>
    </row>
    <row r="66">
      <c r="A66" s="97">
        <f t="shared" si="3"/>
        <v>62</v>
      </c>
      <c r="B66" s="92">
        <v>248.0</v>
      </c>
      <c r="C66" s="92">
        <v>145000.0</v>
      </c>
      <c r="D66" s="66">
        <f t="shared" si="1"/>
        <v>5262</v>
      </c>
      <c r="E66" s="66">
        <f t="shared" si="2"/>
        <v>1802800</v>
      </c>
      <c r="F66" s="96">
        <f t="shared" si="34"/>
        <v>0.095</v>
      </c>
      <c r="G66" s="95">
        <v>5.586</v>
      </c>
      <c r="H66" s="95">
        <v>5.596</v>
      </c>
      <c r="I66" s="95">
        <v>5.616</v>
      </c>
      <c r="J66" s="95">
        <v>5.626</v>
      </c>
      <c r="K66" s="95"/>
      <c r="L66" s="95"/>
      <c r="M66" s="95"/>
      <c r="N66" s="96"/>
      <c r="O66" s="96">
        <f t="shared" si="47"/>
        <v>0.09</v>
      </c>
      <c r="P66" s="99">
        <f t="shared" si="41"/>
        <v>5.54</v>
      </c>
      <c r="Q66" s="95">
        <v>5.571</v>
      </c>
      <c r="R66" s="99">
        <f t="shared" si="42"/>
        <v>5.621</v>
      </c>
      <c r="S66" s="99">
        <f t="shared" si="45"/>
        <v>5.666</v>
      </c>
      <c r="T66" s="95">
        <v>5.716</v>
      </c>
      <c r="U66" s="95"/>
      <c r="V66" s="96">
        <f t="shared" si="37"/>
        <v>0.075</v>
      </c>
      <c r="W66" s="99">
        <f t="shared" ref="W66:W69" si="48">X66-0.01</f>
        <v>4.143</v>
      </c>
      <c r="X66" s="95">
        <v>4.153</v>
      </c>
      <c r="Y66" s="95">
        <v>4.174</v>
      </c>
      <c r="Z66" s="95"/>
      <c r="AA66" s="96">
        <f t="shared" ref="AA66:AA76" si="49">AD66-AD65</f>
        <v>0.006</v>
      </c>
      <c r="AB66" s="95">
        <f t="shared" ref="AB66:AB79" si="50">AB65+AA66</f>
        <v>1.355</v>
      </c>
      <c r="AC66" s="99">
        <f t="shared" si="19"/>
        <v>1.365</v>
      </c>
      <c r="AD66" s="102">
        <v>1.38</v>
      </c>
      <c r="AE66" s="103">
        <f t="shared" si="7"/>
        <v>1.39</v>
      </c>
    </row>
    <row r="67">
      <c r="A67" s="97">
        <f t="shared" si="3"/>
        <v>63</v>
      </c>
      <c r="B67" s="92">
        <v>248.0</v>
      </c>
      <c r="C67" s="92">
        <v>145000.0</v>
      </c>
      <c r="D67" s="66">
        <f t="shared" si="1"/>
        <v>5510</v>
      </c>
      <c r="E67" s="66">
        <f t="shared" si="2"/>
        <v>1947800</v>
      </c>
      <c r="F67" s="96">
        <f t="shared" si="34"/>
        <v>0.095</v>
      </c>
      <c r="G67" s="99">
        <f t="shared" ref="G67:G79" si="51">H67-0.01</f>
        <v>5.681</v>
      </c>
      <c r="H67" s="99">
        <f t="shared" ref="H67:H79" si="52">I67-0.02</f>
        <v>5.691</v>
      </c>
      <c r="I67" s="95">
        <v>5.711</v>
      </c>
      <c r="J67" s="99">
        <f t="shared" ref="J67:J79" si="53">J66+F67</f>
        <v>5.721</v>
      </c>
      <c r="K67" s="99"/>
      <c r="L67" s="99"/>
      <c r="M67" s="99"/>
      <c r="N67" s="96"/>
      <c r="O67" s="96">
        <f t="shared" si="47"/>
        <v>0.09</v>
      </c>
      <c r="P67" s="99">
        <f t="shared" si="41"/>
        <v>5.63</v>
      </c>
      <c r="Q67" s="95">
        <v>5.661</v>
      </c>
      <c r="R67" s="99">
        <f t="shared" si="42"/>
        <v>5.711</v>
      </c>
      <c r="S67" s="99">
        <f t="shared" si="45"/>
        <v>5.756</v>
      </c>
      <c r="T67" s="95">
        <v>5.806</v>
      </c>
      <c r="U67" s="95"/>
      <c r="V67" s="96">
        <f t="shared" si="37"/>
        <v>0.075</v>
      </c>
      <c r="W67" s="99">
        <f t="shared" si="48"/>
        <v>4.218</v>
      </c>
      <c r="X67" s="99">
        <f t="shared" ref="X67:X69" si="54">X66+V67</f>
        <v>4.228</v>
      </c>
      <c r="Y67" s="95">
        <v>4.249</v>
      </c>
      <c r="Z67" s="95"/>
      <c r="AA67" s="96">
        <f t="shared" si="49"/>
        <v>0.006</v>
      </c>
      <c r="AB67" s="95">
        <f t="shared" si="50"/>
        <v>1.361</v>
      </c>
      <c r="AC67" s="99">
        <f t="shared" si="19"/>
        <v>1.371</v>
      </c>
      <c r="AD67" s="102">
        <v>1.386</v>
      </c>
      <c r="AE67" s="103">
        <f t="shared" si="7"/>
        <v>1.396</v>
      </c>
    </row>
    <row r="68">
      <c r="A68" s="97">
        <f t="shared" si="3"/>
        <v>64</v>
      </c>
      <c r="B68" s="92">
        <v>248.0</v>
      </c>
      <c r="C68" s="92">
        <v>145000.0</v>
      </c>
      <c r="D68" s="66">
        <f t="shared" si="1"/>
        <v>5758</v>
      </c>
      <c r="E68" s="66">
        <f t="shared" si="2"/>
        <v>2092800</v>
      </c>
      <c r="F68" s="96">
        <f t="shared" si="34"/>
        <v>0.095</v>
      </c>
      <c r="G68" s="99">
        <f t="shared" si="51"/>
        <v>5.776</v>
      </c>
      <c r="H68" s="99">
        <f t="shared" si="52"/>
        <v>5.786</v>
      </c>
      <c r="I68" s="95">
        <v>5.806</v>
      </c>
      <c r="J68" s="99">
        <f t="shared" si="53"/>
        <v>5.816</v>
      </c>
      <c r="K68" s="99"/>
      <c r="L68" s="99"/>
      <c r="M68" s="99"/>
      <c r="N68" s="96"/>
      <c r="O68" s="96">
        <f t="shared" si="47"/>
        <v>0.09</v>
      </c>
      <c r="P68" s="99">
        <f t="shared" si="41"/>
        <v>5.72</v>
      </c>
      <c r="Q68" s="95">
        <v>5.751</v>
      </c>
      <c r="R68" s="99">
        <f t="shared" si="42"/>
        <v>5.801</v>
      </c>
      <c r="S68" s="99">
        <f t="shared" si="45"/>
        <v>5.846</v>
      </c>
      <c r="T68" s="95">
        <v>5.896</v>
      </c>
      <c r="U68" s="95"/>
      <c r="V68" s="96">
        <f t="shared" si="37"/>
        <v>0.075</v>
      </c>
      <c r="W68" s="99">
        <f t="shared" si="48"/>
        <v>4.293</v>
      </c>
      <c r="X68" s="99">
        <f t="shared" si="54"/>
        <v>4.303</v>
      </c>
      <c r="Y68" s="95">
        <v>4.324</v>
      </c>
      <c r="Z68" s="95"/>
      <c r="AA68" s="96">
        <f t="shared" si="49"/>
        <v>0.006</v>
      </c>
      <c r="AB68" s="95">
        <f t="shared" si="50"/>
        <v>1.367</v>
      </c>
      <c r="AC68" s="99">
        <f t="shared" si="19"/>
        <v>1.377</v>
      </c>
      <c r="AD68" s="102">
        <v>1.392</v>
      </c>
      <c r="AE68" s="103">
        <f t="shared" si="7"/>
        <v>1.402</v>
      </c>
    </row>
    <row r="69">
      <c r="A69" s="97">
        <f t="shared" si="3"/>
        <v>65</v>
      </c>
      <c r="B69" s="92">
        <v>248.0</v>
      </c>
      <c r="C69" s="92">
        <v>145000.0</v>
      </c>
      <c r="D69" s="66">
        <f t="shared" si="1"/>
        <v>6006</v>
      </c>
      <c r="E69" s="66">
        <f t="shared" si="2"/>
        <v>2237800</v>
      </c>
      <c r="F69" s="96">
        <f t="shared" si="34"/>
        <v>0.095</v>
      </c>
      <c r="G69" s="99">
        <f t="shared" si="51"/>
        <v>5.871</v>
      </c>
      <c r="H69" s="99">
        <f t="shared" si="52"/>
        <v>5.881</v>
      </c>
      <c r="I69" s="95">
        <v>5.901</v>
      </c>
      <c r="J69" s="99">
        <f t="shared" si="53"/>
        <v>5.911</v>
      </c>
      <c r="K69" s="99"/>
      <c r="L69" s="99"/>
      <c r="M69" s="99"/>
      <c r="N69" s="96"/>
      <c r="O69" s="96">
        <f t="shared" si="47"/>
        <v>0.09</v>
      </c>
      <c r="P69" s="99">
        <f t="shared" si="41"/>
        <v>5.81</v>
      </c>
      <c r="Q69" s="99">
        <f t="shared" ref="Q69:Q83" si="55">Q68+O69</f>
        <v>5.841</v>
      </c>
      <c r="R69" s="99">
        <f t="shared" si="42"/>
        <v>5.891</v>
      </c>
      <c r="S69" s="99">
        <f t="shared" si="45"/>
        <v>5.936</v>
      </c>
      <c r="T69" s="95">
        <v>5.986</v>
      </c>
      <c r="U69" s="95"/>
      <c r="V69" s="96">
        <f t="shared" si="37"/>
        <v>0.075</v>
      </c>
      <c r="W69" s="99">
        <f t="shared" si="48"/>
        <v>4.368</v>
      </c>
      <c r="X69" s="99">
        <f t="shared" si="54"/>
        <v>4.378</v>
      </c>
      <c r="Y69" s="95">
        <v>4.399</v>
      </c>
      <c r="Z69" s="95"/>
      <c r="AA69" s="96">
        <f t="shared" si="49"/>
        <v>0.006</v>
      </c>
      <c r="AB69" s="95">
        <f t="shared" si="50"/>
        <v>1.373</v>
      </c>
      <c r="AC69" s="99">
        <f t="shared" si="19"/>
        <v>1.383</v>
      </c>
      <c r="AD69" s="102">
        <v>1.398</v>
      </c>
      <c r="AE69" s="103">
        <f t="shared" si="7"/>
        <v>1.408</v>
      </c>
    </row>
    <row r="70">
      <c r="A70" s="97">
        <f t="shared" si="3"/>
        <v>66</v>
      </c>
      <c r="B70" s="92">
        <v>248.0</v>
      </c>
      <c r="C70" s="92">
        <v>145000.0</v>
      </c>
      <c r="D70" s="104">
        <f t="shared" si="1"/>
        <v>6254</v>
      </c>
      <c r="E70" s="104">
        <f t="shared" si="2"/>
        <v>2382800</v>
      </c>
      <c r="F70" s="96">
        <f t="shared" si="34"/>
        <v>0.095</v>
      </c>
      <c r="G70" s="99">
        <f t="shared" si="51"/>
        <v>5.966</v>
      </c>
      <c r="H70" s="99">
        <f t="shared" si="52"/>
        <v>5.976</v>
      </c>
      <c r="I70" s="95">
        <v>5.996</v>
      </c>
      <c r="J70" s="99">
        <f t="shared" si="53"/>
        <v>6.006</v>
      </c>
      <c r="K70" s="95">
        <v>6.036</v>
      </c>
      <c r="L70" s="95">
        <v>6.051</v>
      </c>
      <c r="M70" s="99">
        <f t="shared" ref="M70:M78" si="56">L70+0.036</f>
        <v>6.087</v>
      </c>
      <c r="N70" s="96"/>
      <c r="O70" s="96">
        <f t="shared" si="47"/>
        <v>0.09</v>
      </c>
      <c r="P70" s="99">
        <f t="shared" si="41"/>
        <v>5.9</v>
      </c>
      <c r="Q70" s="99">
        <f t="shared" si="55"/>
        <v>5.931</v>
      </c>
      <c r="R70" s="99">
        <f t="shared" si="42"/>
        <v>5.981</v>
      </c>
      <c r="S70" s="99">
        <f t="shared" si="45"/>
        <v>6.026</v>
      </c>
      <c r="T70" s="95">
        <v>6.076</v>
      </c>
      <c r="U70" s="95"/>
      <c r="V70" s="98">
        <f t="shared" si="37"/>
        <v>0.654</v>
      </c>
      <c r="W70" s="95">
        <v>5.014</v>
      </c>
      <c r="X70" s="95">
        <v>5.028</v>
      </c>
      <c r="Y70" s="95">
        <v>5.053</v>
      </c>
      <c r="Z70" s="95">
        <v>5.067</v>
      </c>
      <c r="AA70" s="96">
        <f t="shared" si="49"/>
        <v>0.006</v>
      </c>
      <c r="AB70" s="95">
        <f t="shared" si="50"/>
        <v>1.379</v>
      </c>
      <c r="AC70" s="99">
        <f t="shared" si="19"/>
        <v>1.389</v>
      </c>
      <c r="AD70" s="102">
        <v>1.404</v>
      </c>
      <c r="AE70" s="103">
        <f t="shared" si="7"/>
        <v>1.414</v>
      </c>
    </row>
    <row r="71">
      <c r="A71" s="97">
        <f t="shared" si="3"/>
        <v>67</v>
      </c>
      <c r="B71" s="92">
        <v>248.0</v>
      </c>
      <c r="C71" s="92">
        <v>145000.0</v>
      </c>
      <c r="D71" s="66">
        <f t="shared" si="1"/>
        <v>6502</v>
      </c>
      <c r="E71" s="66">
        <f t="shared" si="2"/>
        <v>2527800</v>
      </c>
      <c r="F71" s="96">
        <f t="shared" si="34"/>
        <v>0.095</v>
      </c>
      <c r="G71" s="99">
        <f t="shared" si="51"/>
        <v>6.061</v>
      </c>
      <c r="H71" s="99">
        <f t="shared" si="52"/>
        <v>6.071</v>
      </c>
      <c r="I71" s="95">
        <f t="shared" ref="I71:I79" si="57">K71-0.04</f>
        <v>6.091</v>
      </c>
      <c r="J71" s="99">
        <f t="shared" si="53"/>
        <v>6.101</v>
      </c>
      <c r="K71" s="95">
        <v>6.131</v>
      </c>
      <c r="L71" s="99">
        <f t="shared" ref="L71:L79" si="58">K71+0.015</f>
        <v>6.146</v>
      </c>
      <c r="M71" s="99">
        <f t="shared" si="56"/>
        <v>6.182</v>
      </c>
      <c r="N71" s="96"/>
      <c r="O71" s="96">
        <f t="shared" si="47"/>
        <v>0.09</v>
      </c>
      <c r="P71" s="99">
        <f t="shared" si="41"/>
        <v>5.99</v>
      </c>
      <c r="Q71" s="99">
        <f t="shared" si="55"/>
        <v>6.021</v>
      </c>
      <c r="R71" s="99">
        <f t="shared" si="42"/>
        <v>6.071</v>
      </c>
      <c r="S71" s="99">
        <f t="shared" si="45"/>
        <v>6.116</v>
      </c>
      <c r="T71" s="95">
        <v>6.166</v>
      </c>
      <c r="U71" s="95"/>
      <c r="V71" s="96">
        <f t="shared" si="37"/>
        <v>0.087</v>
      </c>
      <c r="W71" s="99">
        <f t="shared" ref="W71:W73" si="59">X71-0.014</f>
        <v>5.102</v>
      </c>
      <c r="X71" s="99">
        <f>Y71-0.024</f>
        <v>5.116</v>
      </c>
      <c r="Y71" s="95">
        <v>5.14</v>
      </c>
      <c r="Z71" s="99">
        <f t="shared" ref="Z71:Z73" si="60">Y71+0.014</f>
        <v>5.154</v>
      </c>
      <c r="AA71" s="96">
        <f t="shared" si="49"/>
        <v>0.006</v>
      </c>
      <c r="AB71" s="95">
        <f t="shared" si="50"/>
        <v>1.385</v>
      </c>
      <c r="AC71" s="99">
        <f t="shared" si="19"/>
        <v>1.395</v>
      </c>
      <c r="AD71" s="102">
        <v>1.41</v>
      </c>
      <c r="AE71" s="102">
        <v>1.42</v>
      </c>
    </row>
    <row r="72">
      <c r="A72" s="97">
        <f t="shared" si="3"/>
        <v>68</v>
      </c>
      <c r="B72" s="92">
        <v>248.0</v>
      </c>
      <c r="C72" s="92">
        <v>145000.0</v>
      </c>
      <c r="D72" s="66">
        <f t="shared" si="1"/>
        <v>6750</v>
      </c>
      <c r="E72" s="66">
        <f t="shared" si="2"/>
        <v>2672800</v>
      </c>
      <c r="F72" s="96">
        <f t="shared" si="34"/>
        <v>0.095</v>
      </c>
      <c r="G72" s="99">
        <f t="shared" si="51"/>
        <v>6.156</v>
      </c>
      <c r="H72" s="99">
        <f t="shared" si="52"/>
        <v>6.166</v>
      </c>
      <c r="I72" s="95">
        <f t="shared" si="57"/>
        <v>6.186</v>
      </c>
      <c r="J72" s="99">
        <f t="shared" si="53"/>
        <v>6.196</v>
      </c>
      <c r="K72" s="95">
        <v>6.226</v>
      </c>
      <c r="L72" s="99">
        <f t="shared" si="58"/>
        <v>6.241</v>
      </c>
      <c r="M72" s="99">
        <f t="shared" si="56"/>
        <v>6.277</v>
      </c>
      <c r="N72" s="96"/>
      <c r="O72" s="96">
        <f t="shared" si="47"/>
        <v>0.09</v>
      </c>
      <c r="P72" s="99">
        <f t="shared" si="41"/>
        <v>6.08</v>
      </c>
      <c r="Q72" s="99">
        <f t="shared" si="55"/>
        <v>6.111</v>
      </c>
      <c r="R72" s="99">
        <f t="shared" si="42"/>
        <v>6.161</v>
      </c>
      <c r="S72" s="99">
        <f t="shared" si="45"/>
        <v>6.206</v>
      </c>
      <c r="T72" s="95">
        <v>6.256</v>
      </c>
      <c r="U72" s="95"/>
      <c r="V72" s="96">
        <f t="shared" si="37"/>
        <v>0.088</v>
      </c>
      <c r="W72" s="99">
        <f t="shared" si="59"/>
        <v>5.189</v>
      </c>
      <c r="X72" s="99">
        <f>Y72-0.025</f>
        <v>5.203</v>
      </c>
      <c r="Y72" s="95">
        <v>5.228</v>
      </c>
      <c r="Z72" s="99">
        <f t="shared" si="60"/>
        <v>5.242</v>
      </c>
      <c r="AA72" s="96">
        <f t="shared" si="49"/>
        <v>0.006</v>
      </c>
      <c r="AB72" s="95">
        <f t="shared" si="50"/>
        <v>1.391</v>
      </c>
      <c r="AC72" s="99">
        <f t="shared" si="19"/>
        <v>1.401</v>
      </c>
      <c r="AD72" s="102">
        <v>1.416</v>
      </c>
      <c r="AE72" s="102">
        <v>1.426</v>
      </c>
    </row>
    <row r="73">
      <c r="A73" s="97">
        <f t="shared" si="3"/>
        <v>69</v>
      </c>
      <c r="B73" s="92">
        <v>248.0</v>
      </c>
      <c r="C73" s="92">
        <v>350000.0</v>
      </c>
      <c r="D73" s="66">
        <f t="shared" si="1"/>
        <v>6998</v>
      </c>
      <c r="E73" s="66">
        <f t="shared" si="2"/>
        <v>3022800</v>
      </c>
      <c r="F73" s="96">
        <f t="shared" si="34"/>
        <v>0.095</v>
      </c>
      <c r="G73" s="99">
        <f t="shared" si="51"/>
        <v>6.251</v>
      </c>
      <c r="H73" s="99">
        <f t="shared" si="52"/>
        <v>6.261</v>
      </c>
      <c r="I73" s="95">
        <f t="shared" si="57"/>
        <v>6.281</v>
      </c>
      <c r="J73" s="99">
        <f t="shared" si="53"/>
        <v>6.291</v>
      </c>
      <c r="K73" s="95">
        <v>6.321</v>
      </c>
      <c r="L73" s="99">
        <f t="shared" si="58"/>
        <v>6.336</v>
      </c>
      <c r="M73" s="99">
        <f t="shared" si="56"/>
        <v>6.372</v>
      </c>
      <c r="N73" s="96"/>
      <c r="O73" s="96">
        <f t="shared" si="47"/>
        <v>0.09</v>
      </c>
      <c r="P73" s="99">
        <f t="shared" si="41"/>
        <v>6.17</v>
      </c>
      <c r="Q73" s="99">
        <f t="shared" si="55"/>
        <v>6.201</v>
      </c>
      <c r="R73" s="99">
        <f t="shared" si="42"/>
        <v>6.251</v>
      </c>
      <c r="S73" s="99">
        <f t="shared" si="45"/>
        <v>6.296</v>
      </c>
      <c r="T73" s="95">
        <v>6.346</v>
      </c>
      <c r="U73" s="95"/>
      <c r="V73" s="96">
        <f t="shared" si="37"/>
        <v>0.087</v>
      </c>
      <c r="W73" s="99">
        <f t="shared" si="59"/>
        <v>5.277</v>
      </c>
      <c r="X73" s="99">
        <f>Y73-0.024</f>
        <v>5.291</v>
      </c>
      <c r="Y73" s="95">
        <v>5.315</v>
      </c>
      <c r="Z73" s="99">
        <f t="shared" si="60"/>
        <v>5.329</v>
      </c>
      <c r="AA73" s="96">
        <f t="shared" si="49"/>
        <v>0.006</v>
      </c>
      <c r="AB73" s="95">
        <f t="shared" si="50"/>
        <v>1.397</v>
      </c>
      <c r="AC73" s="99">
        <f t="shared" si="19"/>
        <v>1.407</v>
      </c>
      <c r="AD73" s="102">
        <v>1.422</v>
      </c>
      <c r="AE73" s="102">
        <v>1.432</v>
      </c>
    </row>
    <row r="74">
      <c r="A74" s="97">
        <f t="shared" si="3"/>
        <v>70</v>
      </c>
      <c r="B74" s="92">
        <v>346.0</v>
      </c>
      <c r="C74" s="92">
        <v>350000.0</v>
      </c>
      <c r="D74" s="66">
        <f t="shared" si="1"/>
        <v>7344</v>
      </c>
      <c r="E74" s="66">
        <f t="shared" si="2"/>
        <v>3372800</v>
      </c>
      <c r="F74" s="100">
        <f t="shared" si="34"/>
        <v>0.1</v>
      </c>
      <c r="G74" s="99">
        <f t="shared" si="51"/>
        <v>6.351</v>
      </c>
      <c r="H74" s="99">
        <f t="shared" si="52"/>
        <v>6.361</v>
      </c>
      <c r="I74" s="95">
        <f t="shared" si="57"/>
        <v>6.381</v>
      </c>
      <c r="J74" s="99">
        <f t="shared" si="53"/>
        <v>6.391</v>
      </c>
      <c r="K74" s="95">
        <v>6.421</v>
      </c>
      <c r="L74" s="99">
        <f t="shared" si="58"/>
        <v>6.436</v>
      </c>
      <c r="M74" s="99">
        <f t="shared" si="56"/>
        <v>6.472</v>
      </c>
      <c r="N74" s="96"/>
      <c r="O74" s="96">
        <f t="shared" si="47"/>
        <v>0.09</v>
      </c>
      <c r="P74" s="99">
        <f t="shared" si="41"/>
        <v>6.26</v>
      </c>
      <c r="Q74" s="99">
        <f t="shared" si="55"/>
        <v>6.291</v>
      </c>
      <c r="R74" s="99">
        <f t="shared" si="42"/>
        <v>6.341</v>
      </c>
      <c r="S74" s="99">
        <f t="shared" si="45"/>
        <v>6.386</v>
      </c>
      <c r="T74" s="95">
        <v>6.436</v>
      </c>
      <c r="U74" s="95"/>
      <c r="V74" s="98">
        <f t="shared" si="37"/>
        <v>0.733</v>
      </c>
      <c r="W74" s="95">
        <v>6.004</v>
      </c>
      <c r="X74" s="95">
        <v>6.02</v>
      </c>
      <c r="Y74" s="95">
        <v>6.048</v>
      </c>
      <c r="Z74" s="95">
        <v>6.064</v>
      </c>
      <c r="AA74" s="96">
        <f t="shared" si="49"/>
        <v>0.006</v>
      </c>
      <c r="AB74" s="95">
        <f t="shared" si="50"/>
        <v>1.403</v>
      </c>
      <c r="AC74" s="99">
        <f t="shared" si="19"/>
        <v>1.413</v>
      </c>
      <c r="AD74" s="102">
        <v>1.428</v>
      </c>
      <c r="AE74" s="102">
        <f t="shared" ref="AE74:AE79" si="61">AD74+0.01</f>
        <v>1.438</v>
      </c>
    </row>
    <row r="75">
      <c r="A75" s="97">
        <f t="shared" si="3"/>
        <v>71</v>
      </c>
      <c r="B75" s="92">
        <v>346.0</v>
      </c>
      <c r="C75" s="92">
        <v>350000.0</v>
      </c>
      <c r="D75" s="66">
        <f t="shared" si="1"/>
        <v>7690</v>
      </c>
      <c r="E75" s="66">
        <f t="shared" si="2"/>
        <v>3722800</v>
      </c>
      <c r="F75" s="96">
        <f t="shared" si="34"/>
        <v>0.1</v>
      </c>
      <c r="G75" s="99">
        <f t="shared" si="51"/>
        <v>6.451</v>
      </c>
      <c r="H75" s="99">
        <f t="shared" si="52"/>
        <v>6.461</v>
      </c>
      <c r="I75" s="95">
        <f t="shared" si="57"/>
        <v>6.481</v>
      </c>
      <c r="J75" s="99">
        <f t="shared" si="53"/>
        <v>6.491</v>
      </c>
      <c r="K75" s="95">
        <v>6.521</v>
      </c>
      <c r="L75" s="99">
        <f t="shared" si="58"/>
        <v>6.536</v>
      </c>
      <c r="M75" s="99">
        <f t="shared" si="56"/>
        <v>6.572</v>
      </c>
      <c r="N75" s="96"/>
      <c r="O75" s="96">
        <f t="shared" si="47"/>
        <v>0.09</v>
      </c>
      <c r="P75" s="99">
        <f t="shared" si="41"/>
        <v>6.35</v>
      </c>
      <c r="Q75" s="99">
        <f t="shared" si="55"/>
        <v>6.381</v>
      </c>
      <c r="R75" s="99">
        <f t="shared" si="42"/>
        <v>6.431</v>
      </c>
      <c r="S75" s="99">
        <f t="shared" si="45"/>
        <v>6.476</v>
      </c>
      <c r="T75" s="95">
        <v>6.526</v>
      </c>
      <c r="U75" s="95">
        <v>6.556</v>
      </c>
      <c r="V75" s="100">
        <f t="shared" si="37"/>
        <v>0.116</v>
      </c>
      <c r="W75" s="95">
        <v>6.12</v>
      </c>
      <c r="X75" s="95">
        <v>6.136</v>
      </c>
      <c r="Y75" s="95">
        <v>6.164</v>
      </c>
      <c r="Z75" s="95">
        <v>6.18</v>
      </c>
      <c r="AA75" s="96">
        <f t="shared" si="49"/>
        <v>0.006</v>
      </c>
      <c r="AB75" s="95">
        <f t="shared" si="50"/>
        <v>1.409</v>
      </c>
      <c r="AC75" s="99">
        <f t="shared" si="19"/>
        <v>1.419</v>
      </c>
      <c r="AD75" s="102">
        <v>1.434</v>
      </c>
      <c r="AE75" s="102">
        <f t="shared" si="61"/>
        <v>1.444</v>
      </c>
    </row>
    <row r="76">
      <c r="A76" s="97">
        <f t="shared" si="3"/>
        <v>72</v>
      </c>
      <c r="B76" s="92">
        <v>346.0</v>
      </c>
      <c r="C76" s="92">
        <v>350000.0</v>
      </c>
      <c r="D76" s="66">
        <f t="shared" si="1"/>
        <v>8036</v>
      </c>
      <c r="E76" s="66">
        <f t="shared" si="2"/>
        <v>4072800</v>
      </c>
      <c r="F76" s="96">
        <f t="shared" si="34"/>
        <v>0.1</v>
      </c>
      <c r="G76" s="99">
        <f t="shared" si="51"/>
        <v>6.551</v>
      </c>
      <c r="H76" s="99">
        <f t="shared" si="52"/>
        <v>6.561</v>
      </c>
      <c r="I76" s="95">
        <f t="shared" si="57"/>
        <v>6.581</v>
      </c>
      <c r="J76" s="99">
        <f t="shared" si="53"/>
        <v>6.591</v>
      </c>
      <c r="K76" s="95">
        <v>6.621</v>
      </c>
      <c r="L76" s="99">
        <f t="shared" si="58"/>
        <v>6.636</v>
      </c>
      <c r="M76" s="99">
        <f t="shared" si="56"/>
        <v>6.672</v>
      </c>
      <c r="N76" s="96"/>
      <c r="O76" s="96">
        <f t="shared" si="47"/>
        <v>0.09</v>
      </c>
      <c r="P76" s="99">
        <f t="shared" si="41"/>
        <v>6.44</v>
      </c>
      <c r="Q76" s="99">
        <f t="shared" si="55"/>
        <v>6.471</v>
      </c>
      <c r="R76" s="99">
        <f t="shared" si="42"/>
        <v>6.521</v>
      </c>
      <c r="S76" s="99">
        <f t="shared" si="45"/>
        <v>6.566</v>
      </c>
      <c r="T76" s="95">
        <v>6.616</v>
      </c>
      <c r="U76" s="99">
        <f t="shared" ref="U76:U83" si="62">T76+0.03</f>
        <v>6.646</v>
      </c>
      <c r="V76" s="96">
        <f t="shared" si="37"/>
        <v>0.116</v>
      </c>
      <c r="W76" s="95">
        <v>6.236</v>
      </c>
      <c r="X76" s="95">
        <v>6.252</v>
      </c>
      <c r="Y76" s="95">
        <v>6.28</v>
      </c>
      <c r="Z76" s="95">
        <v>6.296</v>
      </c>
      <c r="AA76" s="96">
        <f t="shared" si="49"/>
        <v>0.006</v>
      </c>
      <c r="AB76" s="95">
        <f t="shared" si="50"/>
        <v>1.415</v>
      </c>
      <c r="AC76" s="99">
        <f t="shared" si="19"/>
        <v>1.425</v>
      </c>
      <c r="AD76" s="102">
        <v>1.44</v>
      </c>
      <c r="AE76" s="102">
        <f t="shared" si="61"/>
        <v>1.45</v>
      </c>
      <c r="AF76" s="102">
        <v>1.46</v>
      </c>
      <c r="AG76" s="102">
        <v>1.48</v>
      </c>
    </row>
    <row r="77">
      <c r="A77" s="97">
        <f t="shared" si="3"/>
        <v>73</v>
      </c>
      <c r="B77" s="92">
        <v>346.0</v>
      </c>
      <c r="C77" s="92">
        <v>350000.0</v>
      </c>
      <c r="D77" s="66">
        <f t="shared" si="1"/>
        <v>8382</v>
      </c>
      <c r="E77" s="66">
        <f t="shared" si="2"/>
        <v>4422800</v>
      </c>
      <c r="F77" s="96">
        <f t="shared" si="34"/>
        <v>0.1</v>
      </c>
      <c r="G77" s="99">
        <f t="shared" si="51"/>
        <v>6.651</v>
      </c>
      <c r="H77" s="99">
        <f t="shared" si="52"/>
        <v>6.661</v>
      </c>
      <c r="I77" s="95">
        <f t="shared" si="57"/>
        <v>6.681</v>
      </c>
      <c r="J77" s="99">
        <f t="shared" si="53"/>
        <v>6.691</v>
      </c>
      <c r="K77" s="95">
        <v>6.721</v>
      </c>
      <c r="L77" s="99">
        <f t="shared" si="58"/>
        <v>6.736</v>
      </c>
      <c r="M77" s="99">
        <f t="shared" si="56"/>
        <v>6.772</v>
      </c>
      <c r="N77" s="96"/>
      <c r="O77" s="96">
        <f t="shared" si="47"/>
        <v>0.09</v>
      </c>
      <c r="P77" s="99">
        <f t="shared" si="41"/>
        <v>6.53</v>
      </c>
      <c r="Q77" s="99">
        <f t="shared" si="55"/>
        <v>6.561</v>
      </c>
      <c r="R77" s="99">
        <f t="shared" si="42"/>
        <v>6.611</v>
      </c>
      <c r="S77" s="99">
        <f t="shared" si="45"/>
        <v>6.656</v>
      </c>
      <c r="T77" s="95">
        <v>6.706</v>
      </c>
      <c r="U77" s="99">
        <f t="shared" si="62"/>
        <v>6.736</v>
      </c>
      <c r="V77" s="96">
        <f t="shared" si="37"/>
        <v>0.116</v>
      </c>
      <c r="W77" s="95">
        <v>6.352</v>
      </c>
      <c r="X77" s="95">
        <v>6.368</v>
      </c>
      <c r="Y77" s="95">
        <v>6.396</v>
      </c>
      <c r="Z77" s="95">
        <v>6.412</v>
      </c>
      <c r="AA77" s="96">
        <f t="shared" ref="AA77:AA79" si="63">AF77-AF76</f>
        <v>0.006</v>
      </c>
      <c r="AB77" s="95">
        <f t="shared" si="50"/>
        <v>1.421</v>
      </c>
      <c r="AC77" s="99">
        <f t="shared" si="19"/>
        <v>1.431</v>
      </c>
      <c r="AD77" s="102">
        <f t="shared" ref="AD77:AD79" si="64">AD76+AA77</f>
        <v>1.446</v>
      </c>
      <c r="AE77" s="102">
        <f t="shared" si="61"/>
        <v>1.456</v>
      </c>
      <c r="AF77" s="8">
        <v>1.466</v>
      </c>
      <c r="AG77" s="93">
        <f t="shared" ref="AG77:AG79" si="65">AF77+0.02</f>
        <v>1.486</v>
      </c>
    </row>
    <row r="78">
      <c r="A78" s="97">
        <f t="shared" si="3"/>
        <v>74</v>
      </c>
      <c r="B78" s="92">
        <v>346.0</v>
      </c>
      <c r="C78" s="92">
        <v>350000.0</v>
      </c>
      <c r="D78" s="66">
        <f t="shared" si="1"/>
        <v>8728</v>
      </c>
      <c r="E78" s="66">
        <f t="shared" si="2"/>
        <v>4772800</v>
      </c>
      <c r="F78" s="96">
        <f t="shared" si="34"/>
        <v>0.1</v>
      </c>
      <c r="G78" s="99">
        <f t="shared" si="51"/>
        <v>6.751</v>
      </c>
      <c r="H78" s="99">
        <f t="shared" si="52"/>
        <v>6.761</v>
      </c>
      <c r="I78" s="95">
        <f t="shared" si="57"/>
        <v>6.781</v>
      </c>
      <c r="J78" s="99">
        <f t="shared" si="53"/>
        <v>6.791</v>
      </c>
      <c r="K78" s="95">
        <v>6.821</v>
      </c>
      <c r="L78" s="99">
        <f t="shared" si="58"/>
        <v>6.836</v>
      </c>
      <c r="M78" s="99">
        <f t="shared" si="56"/>
        <v>6.872</v>
      </c>
      <c r="N78" s="96"/>
      <c r="O78" s="96">
        <f t="shared" si="47"/>
        <v>0.09</v>
      </c>
      <c r="P78" s="99">
        <f t="shared" si="41"/>
        <v>6.62</v>
      </c>
      <c r="Q78" s="99">
        <f t="shared" si="55"/>
        <v>6.651</v>
      </c>
      <c r="R78" s="99">
        <f t="shared" si="42"/>
        <v>6.701</v>
      </c>
      <c r="S78" s="99">
        <f t="shared" si="45"/>
        <v>6.746</v>
      </c>
      <c r="T78" s="95">
        <v>6.796</v>
      </c>
      <c r="U78" s="99">
        <f t="shared" si="62"/>
        <v>6.826</v>
      </c>
      <c r="V78" s="96">
        <f t="shared" si="37"/>
        <v>0.116</v>
      </c>
      <c r="W78" s="95">
        <v>6.468</v>
      </c>
      <c r="X78" s="95">
        <v>6.484</v>
      </c>
      <c r="Y78" s="95">
        <v>6.512</v>
      </c>
      <c r="Z78" s="95">
        <v>6.528</v>
      </c>
      <c r="AA78" s="96">
        <f t="shared" si="63"/>
        <v>0.006</v>
      </c>
      <c r="AB78" s="95">
        <f t="shared" si="50"/>
        <v>1.427</v>
      </c>
      <c r="AC78" s="99">
        <f t="shared" si="19"/>
        <v>1.437</v>
      </c>
      <c r="AD78" s="102">
        <f t="shared" si="64"/>
        <v>1.452</v>
      </c>
      <c r="AE78" s="102">
        <f t="shared" si="61"/>
        <v>1.462</v>
      </c>
      <c r="AF78" s="8">
        <v>1.472</v>
      </c>
      <c r="AG78" s="93">
        <f t="shared" si="65"/>
        <v>1.492</v>
      </c>
    </row>
    <row r="79">
      <c r="A79" s="97">
        <f t="shared" si="3"/>
        <v>75</v>
      </c>
      <c r="B79" s="92">
        <v>346.0</v>
      </c>
      <c r="C79" s="92">
        <v>350000.0</v>
      </c>
      <c r="D79" s="66">
        <f t="shared" si="1"/>
        <v>9074</v>
      </c>
      <c r="E79" s="66">
        <f t="shared" si="2"/>
        <v>5122800</v>
      </c>
      <c r="F79" s="96">
        <f t="shared" si="34"/>
        <v>0.1</v>
      </c>
      <c r="G79" s="99">
        <f t="shared" si="51"/>
        <v>6.851</v>
      </c>
      <c r="H79" s="99">
        <f t="shared" si="52"/>
        <v>6.861</v>
      </c>
      <c r="I79" s="95">
        <f t="shared" si="57"/>
        <v>6.881</v>
      </c>
      <c r="J79" s="99">
        <f t="shared" si="53"/>
        <v>6.891</v>
      </c>
      <c r="K79" s="95">
        <v>6.921</v>
      </c>
      <c r="L79" s="99">
        <f t="shared" si="58"/>
        <v>6.936</v>
      </c>
      <c r="M79" s="95">
        <v>6.972</v>
      </c>
      <c r="N79" s="96"/>
      <c r="O79" s="96">
        <f t="shared" si="47"/>
        <v>0.09</v>
      </c>
      <c r="P79" s="99">
        <f t="shared" si="41"/>
        <v>6.71</v>
      </c>
      <c r="Q79" s="99">
        <f t="shared" si="55"/>
        <v>6.741</v>
      </c>
      <c r="R79" s="99">
        <f t="shared" si="42"/>
        <v>6.791</v>
      </c>
      <c r="S79" s="99">
        <f t="shared" si="45"/>
        <v>6.836</v>
      </c>
      <c r="T79" s="95">
        <v>6.886</v>
      </c>
      <c r="U79" s="99">
        <f t="shared" si="62"/>
        <v>6.916</v>
      </c>
      <c r="V79" s="98">
        <f t="shared" si="37"/>
        <v>0.819</v>
      </c>
      <c r="W79" s="95">
        <v>7.282</v>
      </c>
      <c r="X79" s="95">
        <v>7.3</v>
      </c>
      <c r="Y79" s="95">
        <v>7.331</v>
      </c>
      <c r="Z79" s="95">
        <v>7.349</v>
      </c>
      <c r="AA79" s="96">
        <f t="shared" si="63"/>
        <v>0.006</v>
      </c>
      <c r="AB79" s="95">
        <f t="shared" si="50"/>
        <v>1.433</v>
      </c>
      <c r="AC79" s="99">
        <f t="shared" si="19"/>
        <v>1.443</v>
      </c>
      <c r="AD79" s="102">
        <f t="shared" si="64"/>
        <v>1.458</v>
      </c>
      <c r="AE79" s="102">
        <f t="shared" si="61"/>
        <v>1.468</v>
      </c>
      <c r="AF79" s="8">
        <v>1.478</v>
      </c>
      <c r="AG79" s="93">
        <f t="shared" si="65"/>
        <v>1.498</v>
      </c>
    </row>
    <row r="80">
      <c r="A80" s="97">
        <f t="shared" si="3"/>
        <v>76</v>
      </c>
      <c r="B80" s="92">
        <v>346.0</v>
      </c>
      <c r="C80" s="92">
        <v>350000.0</v>
      </c>
      <c r="D80" s="66">
        <f t="shared" si="1"/>
        <v>9420</v>
      </c>
      <c r="E80" s="66">
        <f t="shared" si="2"/>
        <v>5472800</v>
      </c>
      <c r="F80" s="96"/>
      <c r="G80" s="96"/>
      <c r="H80" s="96"/>
      <c r="I80" s="96"/>
      <c r="J80" s="96"/>
      <c r="K80" s="96"/>
      <c r="L80" s="96"/>
      <c r="M80" s="96"/>
      <c r="N80" s="96"/>
      <c r="O80" s="96">
        <f t="shared" si="47"/>
        <v>0.09</v>
      </c>
      <c r="P80" s="99">
        <f t="shared" si="41"/>
        <v>6.8</v>
      </c>
      <c r="Q80" s="99">
        <f t="shared" si="55"/>
        <v>6.831</v>
      </c>
      <c r="R80" s="99">
        <f t="shared" si="42"/>
        <v>6.881</v>
      </c>
      <c r="S80" s="99">
        <f t="shared" si="45"/>
        <v>6.926</v>
      </c>
      <c r="T80" s="95">
        <v>6.976</v>
      </c>
      <c r="U80" s="99">
        <f t="shared" si="62"/>
        <v>7.006</v>
      </c>
      <c r="V80" s="96">
        <f t="shared" si="37"/>
        <v>-7.331</v>
      </c>
      <c r="W80" s="96"/>
      <c r="X80" s="96"/>
      <c r="Y80" s="96"/>
      <c r="Z80" s="96"/>
      <c r="AA80" s="96"/>
      <c r="AB80" s="96"/>
      <c r="AC80" s="96"/>
      <c r="AD80" s="87"/>
      <c r="AE80" s="87"/>
    </row>
    <row r="81">
      <c r="A81" s="97">
        <f t="shared" si="3"/>
        <v>77</v>
      </c>
      <c r="B81" s="92">
        <v>346.0</v>
      </c>
      <c r="C81" s="92">
        <v>350000.0</v>
      </c>
      <c r="D81" s="66">
        <f t="shared" si="1"/>
        <v>9766</v>
      </c>
      <c r="E81" s="66">
        <f t="shared" si="2"/>
        <v>5822800</v>
      </c>
      <c r="F81" s="96"/>
      <c r="G81" s="96"/>
      <c r="H81" s="96"/>
      <c r="I81" s="96"/>
      <c r="J81" s="96"/>
      <c r="K81" s="96"/>
      <c r="L81" s="96"/>
      <c r="M81" s="96"/>
      <c r="N81" s="96"/>
      <c r="O81" s="96">
        <f t="shared" si="47"/>
        <v>0.09</v>
      </c>
      <c r="P81" s="99">
        <f t="shared" si="41"/>
        <v>6.89</v>
      </c>
      <c r="Q81" s="99">
        <f t="shared" si="55"/>
        <v>6.921</v>
      </c>
      <c r="R81" s="99">
        <f t="shared" si="42"/>
        <v>6.971</v>
      </c>
      <c r="S81" s="99">
        <f t="shared" si="45"/>
        <v>7.016</v>
      </c>
      <c r="T81" s="95">
        <v>7.066</v>
      </c>
      <c r="U81" s="99">
        <f t="shared" si="62"/>
        <v>7.096</v>
      </c>
      <c r="V81" s="96">
        <f t="shared" si="37"/>
        <v>0</v>
      </c>
      <c r="W81" s="96"/>
      <c r="X81" s="96"/>
      <c r="Y81" s="96"/>
      <c r="Z81" s="96"/>
      <c r="AA81" s="96"/>
      <c r="AB81" s="96"/>
      <c r="AC81" s="96"/>
      <c r="AD81" s="87"/>
      <c r="AE81" s="87"/>
    </row>
    <row r="82">
      <c r="A82" s="97">
        <f t="shared" si="3"/>
        <v>78</v>
      </c>
      <c r="B82" s="92">
        <v>346.0</v>
      </c>
      <c r="C82" s="92">
        <v>350000.0</v>
      </c>
      <c r="D82" s="66">
        <f t="shared" si="1"/>
        <v>10112</v>
      </c>
      <c r="E82" s="66">
        <f t="shared" si="2"/>
        <v>6172800</v>
      </c>
      <c r="F82" s="96"/>
      <c r="G82" s="96"/>
      <c r="H82" s="96"/>
      <c r="I82" s="96"/>
      <c r="J82" s="96"/>
      <c r="K82" s="96"/>
      <c r="L82" s="96"/>
      <c r="M82" s="96"/>
      <c r="N82" s="96"/>
      <c r="O82" s="96">
        <f t="shared" si="47"/>
        <v>0.09</v>
      </c>
      <c r="P82" s="99">
        <f t="shared" si="41"/>
        <v>6.98</v>
      </c>
      <c r="Q82" s="99">
        <f t="shared" si="55"/>
        <v>7.011</v>
      </c>
      <c r="R82" s="99">
        <f t="shared" si="42"/>
        <v>7.061</v>
      </c>
      <c r="S82" s="99">
        <f t="shared" si="45"/>
        <v>7.106</v>
      </c>
      <c r="T82" s="95">
        <v>7.156</v>
      </c>
      <c r="U82" s="99">
        <f t="shared" si="62"/>
        <v>7.186</v>
      </c>
      <c r="V82" s="96"/>
      <c r="W82" s="96"/>
      <c r="X82" s="96"/>
      <c r="Y82" s="96"/>
      <c r="Z82" s="96"/>
      <c r="AA82" s="96"/>
      <c r="AB82" s="96"/>
      <c r="AC82" s="96"/>
      <c r="AD82" s="87"/>
      <c r="AE82" s="87"/>
    </row>
    <row r="83">
      <c r="A83" s="97">
        <f t="shared" si="3"/>
        <v>79</v>
      </c>
      <c r="B83" s="92">
        <v>346.0</v>
      </c>
      <c r="C83" s="92">
        <v>900000.0</v>
      </c>
      <c r="D83" s="66">
        <f t="shared" si="1"/>
        <v>10458</v>
      </c>
      <c r="E83" s="66">
        <f t="shared" si="2"/>
        <v>7072800</v>
      </c>
      <c r="F83" s="96"/>
      <c r="G83" s="96"/>
      <c r="H83" s="96"/>
      <c r="I83" s="96"/>
      <c r="J83" s="96"/>
      <c r="K83" s="96"/>
      <c r="L83" s="96"/>
      <c r="M83" s="96"/>
      <c r="N83" s="96"/>
      <c r="O83" s="96">
        <f t="shared" si="47"/>
        <v>0.09</v>
      </c>
      <c r="P83" s="99">
        <f t="shared" si="41"/>
        <v>7.07</v>
      </c>
      <c r="Q83" s="99">
        <f t="shared" si="55"/>
        <v>7.101</v>
      </c>
      <c r="R83" s="99">
        <f t="shared" si="42"/>
        <v>7.151</v>
      </c>
      <c r="S83" s="99">
        <f t="shared" si="45"/>
        <v>7.196</v>
      </c>
      <c r="T83" s="95">
        <v>7.246</v>
      </c>
      <c r="U83" s="99">
        <f t="shared" si="62"/>
        <v>7.276</v>
      </c>
      <c r="V83" s="96"/>
      <c r="W83" s="96"/>
      <c r="X83" s="96"/>
      <c r="Y83" s="96"/>
      <c r="Z83" s="96"/>
      <c r="AA83" s="96"/>
      <c r="AB83" s="96"/>
      <c r="AC83" s="96"/>
      <c r="AD83" s="87"/>
      <c r="AE83" s="87"/>
    </row>
    <row r="84">
      <c r="A84" s="97">
        <f t="shared" si="3"/>
        <v>80</v>
      </c>
      <c r="B84" s="90">
        <v>495.0</v>
      </c>
      <c r="C84" s="90">
        <v>900000.0</v>
      </c>
      <c r="D84" s="66">
        <f t="shared" si="1"/>
        <v>10953</v>
      </c>
      <c r="E84" s="66">
        <f t="shared" si="2"/>
        <v>7972800</v>
      </c>
      <c r="F84" s="96"/>
      <c r="G84" s="96"/>
      <c r="H84" s="96"/>
      <c r="I84" s="96"/>
      <c r="J84" s="96"/>
      <c r="K84" s="96"/>
      <c r="L84" s="96"/>
      <c r="M84" s="96"/>
      <c r="N84" s="96"/>
      <c r="O84" s="96"/>
      <c r="P84" s="96"/>
      <c r="Q84" s="96"/>
      <c r="R84" s="96"/>
      <c r="S84" s="96"/>
      <c r="T84" s="96"/>
      <c r="U84" s="96"/>
      <c r="V84" s="96"/>
      <c r="W84" s="96"/>
      <c r="X84" s="96"/>
      <c r="Y84" s="96"/>
      <c r="Z84" s="96"/>
      <c r="AA84" s="96"/>
      <c r="AB84" s="96"/>
      <c r="AC84" s="96"/>
      <c r="AD84" s="87"/>
      <c r="AE84" s="87"/>
    </row>
    <row r="85">
      <c r="A85" s="97">
        <f t="shared" si="3"/>
        <v>81</v>
      </c>
      <c r="B85" s="90">
        <v>495.0</v>
      </c>
      <c r="C85" s="90">
        <v>900000.0</v>
      </c>
      <c r="D85" s="66">
        <f t="shared" si="1"/>
        <v>11448</v>
      </c>
      <c r="E85" s="66">
        <f t="shared" si="2"/>
        <v>8872800</v>
      </c>
      <c r="F85" s="96"/>
      <c r="G85" s="96"/>
      <c r="H85" s="96"/>
      <c r="I85" s="96"/>
      <c r="J85" s="96"/>
      <c r="K85" s="96"/>
      <c r="L85" s="96"/>
      <c r="M85" s="96"/>
      <c r="N85" s="96"/>
      <c r="O85" s="96"/>
      <c r="P85" s="96"/>
      <c r="Q85" s="96"/>
      <c r="R85" s="96"/>
      <c r="S85" s="96"/>
      <c r="T85" s="96"/>
      <c r="U85" s="96"/>
      <c r="V85" s="96"/>
      <c r="W85" s="96"/>
      <c r="X85" s="96"/>
      <c r="Y85" s="96"/>
      <c r="Z85" s="96"/>
      <c r="AA85" s="96"/>
      <c r="AB85" s="96"/>
      <c r="AC85" s="96"/>
      <c r="AD85" s="87"/>
      <c r="AE85" s="87"/>
    </row>
    <row r="86">
      <c r="A86" s="97">
        <f t="shared" si="3"/>
        <v>82</v>
      </c>
      <c r="B86" s="90">
        <v>495.0</v>
      </c>
      <c r="C86" s="90">
        <v>900000.0</v>
      </c>
      <c r="D86" s="66">
        <f t="shared" si="1"/>
        <v>11943</v>
      </c>
      <c r="E86" s="66">
        <f t="shared" si="2"/>
        <v>9772800</v>
      </c>
      <c r="F86" s="96"/>
      <c r="G86" s="94">
        <v>7.591</v>
      </c>
      <c r="H86" s="96"/>
      <c r="I86" s="96"/>
      <c r="J86" s="96"/>
      <c r="K86" s="96"/>
      <c r="L86" s="96"/>
      <c r="M86" s="96"/>
      <c r="N86" s="96"/>
      <c r="O86" s="96"/>
      <c r="P86" s="96"/>
      <c r="Q86" s="96"/>
      <c r="R86" s="96"/>
      <c r="S86" s="96"/>
      <c r="T86" s="96"/>
      <c r="U86" s="96"/>
      <c r="V86" s="96"/>
      <c r="W86" s="96"/>
      <c r="X86" s="96"/>
      <c r="Y86" s="96"/>
      <c r="Z86" s="96"/>
      <c r="AA86" s="96"/>
      <c r="AB86" s="96"/>
      <c r="AC86" s="96"/>
      <c r="AD86" s="87"/>
      <c r="AE86" s="87"/>
    </row>
    <row r="87">
      <c r="A87" s="97">
        <f t="shared" si="3"/>
        <v>83</v>
      </c>
      <c r="B87" s="90">
        <v>495.0</v>
      </c>
      <c r="C87" s="90">
        <v>900000.0</v>
      </c>
      <c r="D87" s="66">
        <f t="shared" si="1"/>
        <v>12438</v>
      </c>
      <c r="E87" s="66">
        <f t="shared" si="2"/>
        <v>10672800</v>
      </c>
      <c r="F87" s="96"/>
      <c r="G87" s="96"/>
      <c r="H87" s="96"/>
      <c r="I87" s="96"/>
      <c r="J87" s="96"/>
      <c r="K87" s="96"/>
      <c r="L87" s="96"/>
      <c r="M87" s="96"/>
      <c r="N87" s="96"/>
      <c r="O87" s="96"/>
      <c r="P87" s="94">
        <v>7.501</v>
      </c>
      <c r="Q87" s="96"/>
      <c r="R87" s="96"/>
      <c r="S87" s="96"/>
      <c r="T87" s="96"/>
      <c r="U87" s="96"/>
      <c r="V87" s="96"/>
      <c r="W87" s="96"/>
      <c r="X87" s="96"/>
      <c r="Y87" s="96"/>
      <c r="Z87" s="96"/>
      <c r="AA87" s="96"/>
      <c r="AB87" s="96"/>
      <c r="AC87" s="96"/>
      <c r="AD87" s="87"/>
      <c r="AE87" s="87"/>
    </row>
    <row r="88">
      <c r="A88" s="97">
        <f t="shared" si="3"/>
        <v>84</v>
      </c>
      <c r="B88" s="90">
        <v>495.0</v>
      </c>
      <c r="C88" s="90">
        <v>900000.0</v>
      </c>
      <c r="D88" s="66">
        <f t="shared" si="1"/>
        <v>12933</v>
      </c>
      <c r="E88" s="66">
        <f t="shared" si="2"/>
        <v>11572800</v>
      </c>
      <c r="F88" s="96"/>
      <c r="G88" s="96"/>
      <c r="H88" s="96"/>
      <c r="I88" s="96"/>
      <c r="J88" s="96"/>
      <c r="K88" s="96"/>
      <c r="L88" s="96"/>
      <c r="M88" s="96"/>
      <c r="N88" s="96"/>
      <c r="O88" s="96"/>
      <c r="P88" s="96"/>
      <c r="Q88" s="96"/>
      <c r="R88" s="96"/>
      <c r="S88" s="96"/>
      <c r="T88" s="96"/>
      <c r="U88" s="96"/>
      <c r="V88" s="96"/>
      <c r="W88" s="94">
        <v>9.405</v>
      </c>
      <c r="X88" s="96"/>
      <c r="Y88" s="96"/>
      <c r="Z88" s="96"/>
      <c r="AA88" s="96"/>
      <c r="AB88" s="94">
        <v>1.497</v>
      </c>
      <c r="AC88" s="96"/>
      <c r="AD88" s="87"/>
      <c r="AE88" s="87"/>
    </row>
    <row r="89">
      <c r="A89" s="97">
        <f t="shared" si="3"/>
        <v>85</v>
      </c>
      <c r="B89" s="90">
        <v>495.0</v>
      </c>
      <c r="C89" s="90">
        <v>900000.0</v>
      </c>
      <c r="D89" s="66">
        <f t="shared" si="1"/>
        <v>13428</v>
      </c>
      <c r="E89" s="66">
        <f t="shared" si="2"/>
        <v>12472800</v>
      </c>
      <c r="F89" s="96"/>
      <c r="G89" s="96"/>
      <c r="H89" s="96"/>
      <c r="I89" s="96"/>
      <c r="J89" s="96"/>
      <c r="K89" s="96"/>
      <c r="L89" s="96"/>
      <c r="M89" s="96"/>
      <c r="N89" s="96"/>
      <c r="O89" s="96"/>
      <c r="P89" s="96"/>
      <c r="Q89" s="96"/>
      <c r="R89" s="96"/>
      <c r="S89" s="96"/>
      <c r="T89" s="96"/>
      <c r="U89" s="96"/>
      <c r="V89" s="96"/>
      <c r="W89" s="96"/>
      <c r="X89" s="96"/>
      <c r="Y89" s="96"/>
      <c r="Z89" s="96"/>
      <c r="AA89" s="96"/>
      <c r="AB89" s="96"/>
      <c r="AC89" s="96"/>
      <c r="AD89" s="87"/>
      <c r="AE89" s="87"/>
    </row>
    <row r="90">
      <c r="A90" s="97">
        <f t="shared" si="3"/>
        <v>86</v>
      </c>
      <c r="B90" s="90">
        <v>495.0</v>
      </c>
      <c r="C90" s="90">
        <v>900000.0</v>
      </c>
      <c r="D90" s="66">
        <f t="shared" si="1"/>
        <v>13923</v>
      </c>
      <c r="E90" s="66">
        <f t="shared" si="2"/>
        <v>13372800</v>
      </c>
      <c r="F90" s="96"/>
      <c r="G90" s="96"/>
      <c r="H90" s="96"/>
      <c r="I90" s="96"/>
      <c r="J90" s="96"/>
      <c r="K90" s="96"/>
      <c r="L90" s="96"/>
      <c r="M90" s="96"/>
      <c r="N90" s="96"/>
      <c r="O90" s="96"/>
      <c r="P90" s="96"/>
      <c r="Q90" s="96"/>
      <c r="R90" s="96"/>
      <c r="S90" s="96"/>
      <c r="T90" s="96"/>
      <c r="U90" s="96"/>
      <c r="V90" s="96"/>
      <c r="W90" s="96"/>
      <c r="X90" s="96"/>
      <c r="Y90" s="96"/>
      <c r="Z90" s="96"/>
      <c r="AA90" s="96"/>
      <c r="AB90" s="96"/>
      <c r="AC90" s="96"/>
      <c r="AD90" s="87"/>
      <c r="AE90" s="87"/>
    </row>
    <row r="91">
      <c r="A91" s="97">
        <f t="shared" si="3"/>
        <v>87</v>
      </c>
      <c r="B91" s="90">
        <v>495.0</v>
      </c>
      <c r="C91" s="90">
        <v>900000.0</v>
      </c>
      <c r="D91" s="66">
        <f t="shared" si="1"/>
        <v>14418</v>
      </c>
      <c r="E91" s="66">
        <f t="shared" si="2"/>
        <v>14272800</v>
      </c>
      <c r="F91" s="96"/>
      <c r="G91" s="96"/>
      <c r="H91" s="96"/>
      <c r="I91" s="96"/>
      <c r="J91" s="96"/>
      <c r="K91" s="96"/>
      <c r="L91" s="96"/>
      <c r="M91" s="96"/>
      <c r="N91" s="96"/>
      <c r="O91" s="96"/>
      <c r="P91" s="96"/>
      <c r="Q91" s="96"/>
      <c r="R91" s="96"/>
      <c r="S91" s="96"/>
      <c r="T91" s="96"/>
      <c r="U91" s="96"/>
      <c r="V91" s="96"/>
      <c r="W91" s="96"/>
      <c r="X91" s="96"/>
      <c r="Y91" s="96"/>
      <c r="Z91" s="96"/>
      <c r="AA91" s="96"/>
      <c r="AB91" s="96"/>
      <c r="AC91" s="96"/>
      <c r="AD91" s="87"/>
      <c r="AE91" s="87"/>
    </row>
    <row r="92">
      <c r="A92" s="97">
        <f t="shared" si="3"/>
        <v>88</v>
      </c>
      <c r="B92" s="90">
        <v>495.0</v>
      </c>
      <c r="C92" s="90">
        <v>900000.0</v>
      </c>
      <c r="D92" s="66">
        <f t="shared" si="1"/>
        <v>14913</v>
      </c>
      <c r="E92" s="66">
        <f t="shared" si="2"/>
        <v>15172800</v>
      </c>
      <c r="F92" s="96"/>
      <c r="G92" s="96"/>
      <c r="H92" s="96"/>
      <c r="I92" s="96"/>
      <c r="J92" s="96"/>
      <c r="K92" s="96"/>
      <c r="L92" s="96"/>
      <c r="M92" s="96"/>
      <c r="N92" s="96"/>
      <c r="O92" s="96"/>
      <c r="P92" s="96"/>
      <c r="Q92" s="96"/>
      <c r="R92" s="96"/>
      <c r="S92" s="96"/>
      <c r="T92" s="96"/>
      <c r="U92" s="96"/>
      <c r="V92" s="96"/>
      <c r="W92" s="96"/>
      <c r="X92" s="96"/>
      <c r="Y92" s="96"/>
      <c r="Z92" s="96"/>
      <c r="AA92" s="96"/>
      <c r="AB92" s="96"/>
      <c r="AC92" s="96"/>
      <c r="AD92" s="87"/>
      <c r="AE92" s="87"/>
    </row>
    <row r="93">
      <c r="A93" s="97">
        <f t="shared" si="3"/>
        <v>89</v>
      </c>
      <c r="B93" s="110">
        <v>495.0</v>
      </c>
      <c r="C93" s="110">
        <v>900000.0</v>
      </c>
      <c r="D93" s="66">
        <f t="shared" si="1"/>
        <v>15408</v>
      </c>
      <c r="E93" s="66">
        <f t="shared" si="2"/>
        <v>16072800</v>
      </c>
      <c r="F93" s="96"/>
      <c r="G93" s="96"/>
      <c r="H93" s="96"/>
      <c r="I93" s="96"/>
      <c r="J93" s="96"/>
      <c r="K93" s="96"/>
      <c r="L93" s="96"/>
      <c r="M93" s="96"/>
      <c r="N93" s="96"/>
      <c r="O93" s="96"/>
      <c r="P93" s="96"/>
      <c r="Q93" s="96"/>
      <c r="R93" s="96"/>
      <c r="S93" s="96"/>
      <c r="T93" s="96"/>
      <c r="U93" s="96"/>
      <c r="V93" s="96"/>
      <c r="W93" s="96"/>
      <c r="X93" s="96"/>
      <c r="Y93" s="96"/>
      <c r="Z93" s="96"/>
      <c r="AA93" s="96"/>
      <c r="AB93" s="96"/>
      <c r="AC93" s="96"/>
      <c r="AD93" s="87"/>
      <c r="AE93" s="87"/>
    </row>
    <row r="94">
      <c r="A94" s="97">
        <f t="shared" si="3"/>
        <v>90</v>
      </c>
      <c r="B94" s="110">
        <v>693.0</v>
      </c>
      <c r="C94" s="110">
        <v>900000.0</v>
      </c>
      <c r="D94" s="66">
        <f t="shared" si="1"/>
        <v>16101</v>
      </c>
      <c r="E94" s="66">
        <f t="shared" si="2"/>
        <v>16972800</v>
      </c>
      <c r="F94" s="96"/>
      <c r="G94" s="96"/>
      <c r="H94" s="96"/>
      <c r="I94" s="96"/>
      <c r="J94" s="96"/>
      <c r="K94" s="96"/>
      <c r="L94" s="96"/>
      <c r="M94" s="96"/>
      <c r="N94" s="96"/>
      <c r="O94" s="96"/>
      <c r="P94" s="96"/>
      <c r="Q94" s="96"/>
      <c r="R94" s="96"/>
      <c r="S94" s="96"/>
      <c r="T94" s="96"/>
      <c r="U94" s="96"/>
      <c r="V94" s="96"/>
      <c r="W94" s="96"/>
      <c r="X94" s="96"/>
      <c r="Y94" s="96"/>
      <c r="Z94" s="96"/>
      <c r="AA94" s="96"/>
      <c r="AB94" s="96"/>
      <c r="AC94" s="96"/>
      <c r="AD94" s="87"/>
      <c r="AE94" s="87"/>
    </row>
    <row r="95">
      <c r="A95" s="97">
        <f t="shared" si="3"/>
        <v>91</v>
      </c>
      <c r="B95" s="110">
        <v>693.0</v>
      </c>
      <c r="C95" s="110">
        <v>900000.0</v>
      </c>
      <c r="D95" s="66">
        <f t="shared" si="1"/>
        <v>16794</v>
      </c>
      <c r="E95" s="66">
        <f t="shared" si="2"/>
        <v>17872800</v>
      </c>
      <c r="F95" s="96"/>
      <c r="G95" s="96"/>
      <c r="H95" s="96"/>
      <c r="I95" s="96"/>
      <c r="J95" s="96"/>
      <c r="K95" s="96"/>
      <c r="L95" s="96"/>
      <c r="M95" s="96"/>
      <c r="N95" s="96"/>
      <c r="O95" s="96"/>
      <c r="P95" s="96"/>
      <c r="Q95" s="96"/>
      <c r="R95" s="96"/>
      <c r="S95" s="96"/>
      <c r="T95" s="96"/>
      <c r="U95" s="96"/>
      <c r="V95" s="96"/>
      <c r="W95" s="96"/>
      <c r="X95" s="96"/>
      <c r="Y95" s="96"/>
      <c r="Z95" s="96"/>
      <c r="AA95" s="96"/>
      <c r="AB95" s="96"/>
      <c r="AC95" s="96"/>
      <c r="AD95" s="87"/>
      <c r="AE95" s="87"/>
    </row>
    <row r="96">
      <c r="A96" s="97">
        <f t="shared" si="3"/>
        <v>92</v>
      </c>
      <c r="B96" s="110">
        <v>693.0</v>
      </c>
      <c r="C96" s="110">
        <v>900000.0</v>
      </c>
      <c r="D96" s="66">
        <f t="shared" si="1"/>
        <v>17487</v>
      </c>
      <c r="E96" s="66">
        <f t="shared" si="2"/>
        <v>18772800</v>
      </c>
      <c r="F96" s="96"/>
      <c r="G96" s="96"/>
      <c r="H96" s="96"/>
      <c r="I96" s="96"/>
      <c r="J96" s="96"/>
      <c r="K96" s="96"/>
      <c r="L96" s="96"/>
      <c r="M96" s="96"/>
      <c r="N96" s="96"/>
      <c r="O96" s="96"/>
      <c r="P96" s="96"/>
      <c r="Q96" s="96"/>
      <c r="R96" s="96"/>
      <c r="S96" s="96"/>
      <c r="T96" s="96"/>
      <c r="U96" s="96"/>
      <c r="V96" s="96"/>
      <c r="W96" s="96"/>
      <c r="X96" s="96"/>
      <c r="Y96" s="96"/>
      <c r="Z96" s="96"/>
      <c r="AA96" s="96"/>
      <c r="AB96" s="96"/>
      <c r="AC96" s="96"/>
      <c r="AD96" s="87"/>
      <c r="AE96" s="87"/>
    </row>
    <row r="97">
      <c r="A97" s="97">
        <f t="shared" si="3"/>
        <v>93</v>
      </c>
      <c r="B97" s="110">
        <v>693.0</v>
      </c>
      <c r="C97" s="110">
        <v>900000.0</v>
      </c>
      <c r="D97" s="66">
        <f t="shared" si="1"/>
        <v>18180</v>
      </c>
      <c r="E97" s="66">
        <f t="shared" si="2"/>
        <v>19672800</v>
      </c>
      <c r="F97" s="96"/>
      <c r="G97" s="96"/>
      <c r="H97" s="96"/>
      <c r="I97" s="96"/>
      <c r="J97" s="96"/>
      <c r="K97" s="96"/>
      <c r="L97" s="96"/>
      <c r="M97" s="96"/>
      <c r="N97" s="96"/>
      <c r="O97" s="96"/>
      <c r="P97" s="96"/>
      <c r="Q97" s="96"/>
      <c r="R97" s="96"/>
      <c r="S97" s="96"/>
      <c r="T97" s="96"/>
      <c r="U97" s="96"/>
      <c r="V97" s="96"/>
      <c r="W97" s="96"/>
      <c r="X97" s="96"/>
      <c r="Y97" s="96"/>
      <c r="Z97" s="96"/>
      <c r="AA97" s="96"/>
      <c r="AB97" s="96"/>
      <c r="AC97" s="96"/>
      <c r="AD97" s="87"/>
      <c r="AE97" s="87"/>
    </row>
    <row r="98">
      <c r="A98" s="97">
        <f t="shared" si="3"/>
        <v>94</v>
      </c>
      <c r="B98" s="110">
        <v>693.0</v>
      </c>
      <c r="C98" s="110">
        <v>900000.0</v>
      </c>
      <c r="D98" s="66">
        <f t="shared" si="1"/>
        <v>18873</v>
      </c>
      <c r="E98" s="66">
        <f t="shared" si="2"/>
        <v>20572800</v>
      </c>
      <c r="F98" s="96"/>
      <c r="G98" s="96"/>
      <c r="H98" s="96"/>
      <c r="I98" s="96"/>
      <c r="J98" s="96"/>
      <c r="K98" s="96"/>
      <c r="L98" s="96"/>
      <c r="M98" s="96"/>
      <c r="N98" s="96"/>
      <c r="O98" s="96"/>
      <c r="P98" s="96"/>
      <c r="Q98" s="96"/>
      <c r="R98" s="96"/>
      <c r="S98" s="96"/>
      <c r="T98" s="96"/>
      <c r="U98" s="96"/>
      <c r="V98" s="96"/>
      <c r="W98" s="96"/>
      <c r="X98" s="96"/>
      <c r="Y98" s="96"/>
      <c r="Z98" s="96"/>
      <c r="AA98" s="96"/>
      <c r="AB98" s="96"/>
      <c r="AC98" s="96"/>
      <c r="AD98" s="87"/>
      <c r="AE98" s="87"/>
    </row>
    <row r="99">
      <c r="A99" s="97">
        <f t="shared" si="3"/>
        <v>95</v>
      </c>
      <c r="B99" s="110">
        <v>693.0</v>
      </c>
      <c r="C99" s="110">
        <v>900000.0</v>
      </c>
      <c r="D99" s="66">
        <f t="shared" si="1"/>
        <v>19566</v>
      </c>
      <c r="E99" s="66">
        <f t="shared" si="2"/>
        <v>21472800</v>
      </c>
      <c r="F99" s="96"/>
      <c r="G99" s="96"/>
      <c r="H99" s="96"/>
      <c r="I99" s="96"/>
      <c r="J99" s="96"/>
      <c r="K99" s="96"/>
      <c r="L99" s="96"/>
      <c r="M99" s="96"/>
      <c r="N99" s="96"/>
      <c r="O99" s="96"/>
      <c r="P99" s="96"/>
      <c r="Q99" s="96"/>
      <c r="R99" s="96"/>
      <c r="S99" s="96"/>
      <c r="T99" s="96"/>
      <c r="U99" s="96"/>
      <c r="V99" s="96"/>
      <c r="W99" s="96"/>
      <c r="X99" s="96"/>
      <c r="Y99" s="96"/>
      <c r="Z99" s="96"/>
      <c r="AA99" s="96"/>
      <c r="AB99" s="96"/>
      <c r="AC99" s="96"/>
      <c r="AD99" s="87"/>
      <c r="AE99" s="87"/>
    </row>
    <row r="100">
      <c r="A100" s="97">
        <f t="shared" si="3"/>
        <v>96</v>
      </c>
      <c r="B100" s="110">
        <v>693.0</v>
      </c>
      <c r="C100" s="110">
        <v>900000.0</v>
      </c>
      <c r="D100" s="66">
        <f t="shared" si="1"/>
        <v>20259</v>
      </c>
      <c r="E100" s="66">
        <f t="shared" si="2"/>
        <v>22372800</v>
      </c>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87"/>
      <c r="AE100" s="87"/>
    </row>
    <row r="101">
      <c r="A101" s="97">
        <f t="shared" si="3"/>
        <v>97</v>
      </c>
      <c r="B101" s="110">
        <v>693.0</v>
      </c>
      <c r="C101" s="110">
        <v>900000.0</v>
      </c>
      <c r="D101" s="66">
        <f t="shared" si="1"/>
        <v>20952</v>
      </c>
      <c r="E101" s="66">
        <f t="shared" si="2"/>
        <v>23272800</v>
      </c>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87"/>
      <c r="AE101" s="87"/>
    </row>
    <row r="102">
      <c r="A102" s="97">
        <f t="shared" si="3"/>
        <v>98</v>
      </c>
      <c r="B102" s="110">
        <v>693.0</v>
      </c>
      <c r="C102" s="110">
        <v>900000.0</v>
      </c>
      <c r="D102" s="66">
        <f t="shared" si="1"/>
        <v>21645</v>
      </c>
      <c r="E102" s="66">
        <f t="shared" si="2"/>
        <v>24172800</v>
      </c>
      <c r="F102" s="96"/>
      <c r="G102" s="96"/>
      <c r="H102" s="96"/>
      <c r="I102" s="96"/>
      <c r="J102" s="96"/>
      <c r="K102" s="96"/>
      <c r="L102" s="96"/>
      <c r="M102" s="96"/>
      <c r="N102" s="96"/>
      <c r="O102" s="96"/>
      <c r="P102" s="96"/>
      <c r="Q102" s="96"/>
      <c r="R102" s="96"/>
      <c r="S102" s="96"/>
      <c r="T102" s="96"/>
      <c r="U102" s="96"/>
      <c r="V102" s="96"/>
      <c r="W102" s="96"/>
      <c r="X102" s="96"/>
      <c r="Y102" s="96"/>
      <c r="Z102" s="96"/>
      <c r="AA102" s="96"/>
      <c r="AB102" s="96"/>
      <c r="AC102" s="96"/>
      <c r="AD102" s="87"/>
      <c r="AE102" s="87"/>
    </row>
    <row r="103">
      <c r="A103" s="97">
        <f t="shared" si="3"/>
        <v>99</v>
      </c>
      <c r="B103" s="110">
        <v>693.0</v>
      </c>
      <c r="C103" s="110">
        <v>1400000.0</v>
      </c>
      <c r="D103" s="66">
        <f t="shared" si="1"/>
        <v>22338</v>
      </c>
      <c r="E103" s="66">
        <f t="shared" si="2"/>
        <v>25572800</v>
      </c>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87"/>
      <c r="AE103" s="87"/>
    </row>
    <row r="104">
      <c r="A104" s="97">
        <f t="shared" si="3"/>
        <v>100</v>
      </c>
      <c r="B104" s="110">
        <v>990.0</v>
      </c>
      <c r="C104" s="110">
        <v>1400000.0</v>
      </c>
      <c r="D104" s="66">
        <f t="shared" si="1"/>
        <v>23328</v>
      </c>
      <c r="E104" s="66">
        <f t="shared" si="2"/>
        <v>26972800</v>
      </c>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87"/>
      <c r="AE104" s="87"/>
    </row>
    <row r="105">
      <c r="A105" s="97">
        <f t="shared" si="3"/>
        <v>101</v>
      </c>
      <c r="B105" s="110">
        <v>990.0</v>
      </c>
      <c r="C105" s="110">
        <v>1400000.0</v>
      </c>
      <c r="D105" s="66">
        <f t="shared" si="1"/>
        <v>24318</v>
      </c>
      <c r="E105" s="66">
        <f t="shared" si="2"/>
        <v>28372800</v>
      </c>
      <c r="F105" s="96"/>
      <c r="G105" s="94">
        <v>9.887</v>
      </c>
      <c r="H105" s="96"/>
      <c r="I105" s="96"/>
      <c r="J105" s="96"/>
      <c r="K105" s="96"/>
      <c r="L105" s="96"/>
      <c r="M105" s="96"/>
      <c r="N105" s="96"/>
      <c r="O105" s="96"/>
      <c r="P105" s="96"/>
      <c r="Q105" s="96"/>
      <c r="R105" s="96"/>
      <c r="S105" s="96"/>
      <c r="T105" s="96"/>
      <c r="U105" s="96"/>
      <c r="V105" s="96"/>
      <c r="W105" s="96"/>
      <c r="X105" s="96"/>
      <c r="Y105" s="96"/>
      <c r="Z105" s="96"/>
      <c r="AA105" s="96"/>
      <c r="AB105" s="96"/>
      <c r="AC105" s="96"/>
      <c r="AD105" s="87"/>
      <c r="AE105" s="87"/>
    </row>
    <row r="106">
      <c r="A106" s="97">
        <f t="shared" si="3"/>
        <v>102</v>
      </c>
      <c r="B106" s="110">
        <v>990.0</v>
      </c>
      <c r="C106" s="110">
        <v>1400000.0</v>
      </c>
      <c r="D106" s="66">
        <f t="shared" si="1"/>
        <v>25308</v>
      </c>
      <c r="E106" s="66">
        <f t="shared" si="2"/>
        <v>29772800</v>
      </c>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87"/>
      <c r="AE106" s="87"/>
    </row>
    <row r="107">
      <c r="A107" s="97">
        <f t="shared" si="3"/>
        <v>103</v>
      </c>
      <c r="B107" s="110">
        <v>990.0</v>
      </c>
      <c r="C107" s="110">
        <v>1400000.0</v>
      </c>
      <c r="D107" s="66">
        <f t="shared" si="1"/>
        <v>26298</v>
      </c>
      <c r="E107" s="66">
        <f t="shared" si="2"/>
        <v>31172800</v>
      </c>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87"/>
      <c r="AE107" s="87"/>
    </row>
    <row r="108">
      <c r="A108" s="97">
        <f t="shared" si="3"/>
        <v>104</v>
      </c>
      <c r="B108" s="110">
        <v>990.0</v>
      </c>
      <c r="C108" s="110">
        <v>1400000.0</v>
      </c>
      <c r="D108" s="66">
        <f t="shared" si="1"/>
        <v>27288</v>
      </c>
      <c r="E108" s="66">
        <f t="shared" si="2"/>
        <v>32572800</v>
      </c>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87"/>
      <c r="AE108" s="87"/>
    </row>
    <row r="109">
      <c r="A109" s="97">
        <f t="shared" si="3"/>
        <v>105</v>
      </c>
      <c r="B109" s="110">
        <v>990.0</v>
      </c>
      <c r="C109" s="110">
        <v>1400000.0</v>
      </c>
      <c r="D109" s="66">
        <f t="shared" si="1"/>
        <v>28278</v>
      </c>
      <c r="E109" s="66">
        <f t="shared" si="2"/>
        <v>33972800</v>
      </c>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87"/>
      <c r="AE109" s="87"/>
    </row>
    <row r="110">
      <c r="A110" s="97">
        <f t="shared" si="3"/>
        <v>106</v>
      </c>
      <c r="B110" s="110">
        <v>990.0</v>
      </c>
      <c r="C110" s="110">
        <v>1400000.0</v>
      </c>
      <c r="D110" s="66">
        <f t="shared" si="1"/>
        <v>29268</v>
      </c>
      <c r="E110" s="66">
        <f t="shared" si="2"/>
        <v>35372800</v>
      </c>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87"/>
      <c r="AE110" s="87"/>
    </row>
    <row r="111">
      <c r="A111" s="97">
        <f t="shared" si="3"/>
        <v>107</v>
      </c>
      <c r="B111" s="110">
        <v>990.0</v>
      </c>
      <c r="C111" s="110">
        <v>1400000.0</v>
      </c>
      <c r="D111" s="66">
        <f t="shared" si="1"/>
        <v>30258</v>
      </c>
      <c r="E111" s="66">
        <f t="shared" si="2"/>
        <v>36772800</v>
      </c>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87"/>
      <c r="AE111" s="87"/>
    </row>
    <row r="112">
      <c r="A112" s="97">
        <f t="shared" si="3"/>
        <v>108</v>
      </c>
      <c r="B112" s="110">
        <v>990.0</v>
      </c>
      <c r="C112" s="110">
        <v>1400000.0</v>
      </c>
      <c r="D112" s="66">
        <f t="shared" si="1"/>
        <v>31248</v>
      </c>
      <c r="E112" s="66">
        <f t="shared" si="2"/>
        <v>38172800</v>
      </c>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87"/>
      <c r="AE112" s="87"/>
    </row>
    <row r="113">
      <c r="A113" s="97">
        <f t="shared" si="3"/>
        <v>109</v>
      </c>
      <c r="B113" s="110">
        <v>990.0</v>
      </c>
      <c r="C113" s="110">
        <v>1400000.0</v>
      </c>
      <c r="D113" s="66">
        <f t="shared" si="1"/>
        <v>32238</v>
      </c>
      <c r="E113" s="66">
        <f t="shared" si="2"/>
        <v>39572800</v>
      </c>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87"/>
      <c r="AE113" s="87"/>
    </row>
    <row r="114">
      <c r="A114" s="97">
        <f t="shared" si="3"/>
        <v>110</v>
      </c>
      <c r="B114" s="110">
        <v>1287.0</v>
      </c>
      <c r="C114" s="110">
        <v>1400000.0</v>
      </c>
      <c r="D114" s="66">
        <f t="shared" si="1"/>
        <v>33525</v>
      </c>
      <c r="E114" s="66">
        <f t="shared" si="2"/>
        <v>40972800</v>
      </c>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87"/>
      <c r="AE114" s="87"/>
    </row>
    <row r="115">
      <c r="A115" s="97">
        <f t="shared" si="3"/>
        <v>111</v>
      </c>
      <c r="B115" s="110">
        <v>1287.0</v>
      </c>
      <c r="C115" s="110">
        <v>1400000.0</v>
      </c>
      <c r="D115" s="66">
        <f t="shared" si="1"/>
        <v>34812</v>
      </c>
      <c r="E115" s="66">
        <f t="shared" si="2"/>
        <v>42372800</v>
      </c>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87"/>
      <c r="AE115" s="87"/>
    </row>
    <row r="116">
      <c r="A116" s="97">
        <f t="shared" si="3"/>
        <v>112</v>
      </c>
      <c r="B116" s="110">
        <v>1287.0</v>
      </c>
      <c r="C116" s="110">
        <v>1400000.0</v>
      </c>
      <c r="D116" s="66">
        <f t="shared" si="1"/>
        <v>36099</v>
      </c>
      <c r="E116" s="66">
        <f t="shared" si="2"/>
        <v>43772800</v>
      </c>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87"/>
      <c r="AE116" s="87"/>
    </row>
    <row r="117">
      <c r="A117" s="97">
        <f t="shared" si="3"/>
        <v>113</v>
      </c>
      <c r="B117" s="110">
        <v>1287.0</v>
      </c>
      <c r="C117" s="110">
        <v>1400000.0</v>
      </c>
      <c r="D117" s="66">
        <f t="shared" si="1"/>
        <v>37386</v>
      </c>
      <c r="E117" s="66">
        <f t="shared" si="2"/>
        <v>45172800</v>
      </c>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87"/>
      <c r="AE117" s="87"/>
    </row>
    <row r="118">
      <c r="A118" s="97">
        <f t="shared" si="3"/>
        <v>114</v>
      </c>
      <c r="B118" s="110">
        <v>1287.0</v>
      </c>
      <c r="C118" s="110">
        <v>1400000.0</v>
      </c>
      <c r="D118" s="66">
        <f t="shared" si="1"/>
        <v>38673</v>
      </c>
      <c r="E118" s="66">
        <f t="shared" si="2"/>
        <v>46572800</v>
      </c>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87"/>
      <c r="AE118" s="87"/>
    </row>
    <row r="119">
      <c r="A119" s="97">
        <f t="shared" si="3"/>
        <v>115</v>
      </c>
      <c r="B119" s="110">
        <v>1287.0</v>
      </c>
      <c r="C119" s="110">
        <v>1400000.0</v>
      </c>
      <c r="D119" s="66">
        <f t="shared" si="1"/>
        <v>39960</v>
      </c>
      <c r="E119" s="66">
        <f t="shared" si="2"/>
        <v>47972800</v>
      </c>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87"/>
      <c r="AE119" s="87"/>
    </row>
    <row r="120">
      <c r="A120" s="97">
        <f t="shared" si="3"/>
        <v>116</v>
      </c>
      <c r="B120" s="110">
        <v>1287.0</v>
      </c>
      <c r="C120" s="110">
        <v>1400000.0</v>
      </c>
      <c r="D120" s="66">
        <f t="shared" si="1"/>
        <v>41247</v>
      </c>
      <c r="E120" s="66">
        <f t="shared" si="2"/>
        <v>49372800</v>
      </c>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87"/>
      <c r="AE120" s="87"/>
    </row>
    <row r="121">
      <c r="A121" s="97">
        <f t="shared" si="3"/>
        <v>117</v>
      </c>
      <c r="B121" s="110">
        <v>1287.0</v>
      </c>
      <c r="C121" s="110">
        <v>1400000.0</v>
      </c>
      <c r="D121" s="66">
        <f t="shared" si="1"/>
        <v>42534</v>
      </c>
      <c r="E121" s="66">
        <f t="shared" si="2"/>
        <v>50772800</v>
      </c>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87"/>
      <c r="AE121" s="87"/>
    </row>
    <row r="122">
      <c r="A122" s="97">
        <f t="shared" si="3"/>
        <v>118</v>
      </c>
      <c r="B122" s="110">
        <v>1287.0</v>
      </c>
      <c r="C122" s="110">
        <v>1400000.0</v>
      </c>
      <c r="D122" s="66">
        <f t="shared" si="1"/>
        <v>43821</v>
      </c>
      <c r="E122" s="66">
        <f t="shared" si="2"/>
        <v>52172800</v>
      </c>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87"/>
      <c r="AE122" s="87"/>
    </row>
    <row r="123">
      <c r="A123" s="97">
        <f t="shared" si="3"/>
        <v>119</v>
      </c>
      <c r="B123" s="110">
        <v>1287.0</v>
      </c>
      <c r="C123" s="110">
        <v>3500000.0</v>
      </c>
      <c r="D123" s="66">
        <f t="shared" si="1"/>
        <v>45108</v>
      </c>
      <c r="E123" s="66">
        <f t="shared" si="2"/>
        <v>55672800</v>
      </c>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87"/>
      <c r="AE123" s="87"/>
    </row>
    <row r="124">
      <c r="A124" s="97">
        <f t="shared" si="3"/>
        <v>120</v>
      </c>
      <c r="B124" s="110">
        <v>1782.0</v>
      </c>
      <c r="C124" s="110">
        <v>3500000.0</v>
      </c>
      <c r="D124" s="66">
        <f t="shared" si="1"/>
        <v>46890</v>
      </c>
      <c r="E124" s="66">
        <f t="shared" si="2"/>
        <v>59172800</v>
      </c>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87"/>
      <c r="AE124" s="87"/>
    </row>
    <row r="125">
      <c r="A125" s="97">
        <f t="shared" si="3"/>
        <v>121</v>
      </c>
      <c r="B125" s="110">
        <v>1782.0</v>
      </c>
      <c r="C125" s="110">
        <v>3500000.0</v>
      </c>
      <c r="D125" s="66">
        <f t="shared" si="1"/>
        <v>48672</v>
      </c>
      <c r="E125" s="66">
        <f t="shared" si="2"/>
        <v>62672800</v>
      </c>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87"/>
      <c r="AE125" s="87"/>
    </row>
    <row r="126">
      <c r="A126" s="97">
        <f t="shared" si="3"/>
        <v>122</v>
      </c>
      <c r="B126" s="110">
        <v>1782.0</v>
      </c>
      <c r="C126" s="110">
        <v>3500000.0</v>
      </c>
      <c r="D126" s="66">
        <f t="shared" si="1"/>
        <v>50454</v>
      </c>
      <c r="E126" s="66">
        <f t="shared" si="2"/>
        <v>66172800</v>
      </c>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87"/>
      <c r="AE126" s="87"/>
    </row>
    <row r="127">
      <c r="A127" s="97">
        <f t="shared" si="3"/>
        <v>123</v>
      </c>
      <c r="B127" s="110">
        <v>1782.0</v>
      </c>
      <c r="C127" s="110">
        <v>3500000.0</v>
      </c>
      <c r="D127" s="66">
        <f t="shared" si="1"/>
        <v>52236</v>
      </c>
      <c r="E127" s="66">
        <f t="shared" si="2"/>
        <v>69672800</v>
      </c>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87"/>
      <c r="AE127" s="87"/>
    </row>
    <row r="128">
      <c r="A128" s="97">
        <f t="shared" si="3"/>
        <v>124</v>
      </c>
      <c r="B128" s="110">
        <v>1782.0</v>
      </c>
      <c r="C128" s="110">
        <v>3500000.0</v>
      </c>
      <c r="D128" s="66">
        <f t="shared" si="1"/>
        <v>54018</v>
      </c>
      <c r="E128" s="66">
        <f t="shared" si="2"/>
        <v>73172800</v>
      </c>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87"/>
      <c r="AE128" s="87"/>
    </row>
    <row r="129">
      <c r="A129" s="97">
        <f t="shared" si="3"/>
        <v>125</v>
      </c>
      <c r="B129" s="110">
        <v>1782.0</v>
      </c>
      <c r="C129" s="110">
        <v>3500000.0</v>
      </c>
      <c r="D129" s="66">
        <f t="shared" si="1"/>
        <v>55800</v>
      </c>
      <c r="E129" s="66">
        <f t="shared" si="2"/>
        <v>76672800</v>
      </c>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87"/>
      <c r="AE129" s="87"/>
    </row>
    <row r="130">
      <c r="A130" s="97">
        <f t="shared" si="3"/>
        <v>126</v>
      </c>
      <c r="B130" s="110">
        <v>1782.0</v>
      </c>
      <c r="C130" s="110">
        <v>3500000.0</v>
      </c>
      <c r="D130" s="66">
        <f t="shared" si="1"/>
        <v>57582</v>
      </c>
      <c r="E130" s="66">
        <f t="shared" si="2"/>
        <v>80172800</v>
      </c>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87"/>
      <c r="AE130" s="87"/>
    </row>
    <row r="131">
      <c r="A131" s="97">
        <f t="shared" si="3"/>
        <v>127</v>
      </c>
      <c r="B131" s="110">
        <v>1782.0</v>
      </c>
      <c r="C131" s="110">
        <v>3500000.0</v>
      </c>
      <c r="D131" s="66">
        <f t="shared" si="1"/>
        <v>59364</v>
      </c>
      <c r="E131" s="66">
        <f t="shared" si="2"/>
        <v>83672800</v>
      </c>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87"/>
      <c r="AE131" s="87"/>
    </row>
    <row r="132">
      <c r="A132" s="97">
        <f t="shared" si="3"/>
        <v>128</v>
      </c>
      <c r="B132" s="110">
        <v>1782.0</v>
      </c>
      <c r="C132" s="110">
        <v>3500000.0</v>
      </c>
      <c r="D132" s="66">
        <f t="shared" si="1"/>
        <v>61146</v>
      </c>
      <c r="E132" s="66">
        <f t="shared" si="2"/>
        <v>87172800</v>
      </c>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87"/>
      <c r="AE132" s="87"/>
    </row>
    <row r="133">
      <c r="A133" s="97">
        <f t="shared" si="3"/>
        <v>129</v>
      </c>
      <c r="B133" s="110">
        <v>1782.0</v>
      </c>
      <c r="C133" s="110">
        <v>3500000.0</v>
      </c>
      <c r="D133" s="66">
        <f t="shared" si="1"/>
        <v>62928</v>
      </c>
      <c r="E133" s="66">
        <f t="shared" si="2"/>
        <v>90672800</v>
      </c>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87"/>
      <c r="AE133" s="87"/>
    </row>
    <row r="134">
      <c r="A134" s="97">
        <f t="shared" si="3"/>
        <v>130</v>
      </c>
      <c r="B134" s="110">
        <v>2475.0</v>
      </c>
      <c r="C134" s="110">
        <v>3500000.0</v>
      </c>
      <c r="D134" s="66">
        <f t="shared" si="1"/>
        <v>65403</v>
      </c>
      <c r="E134" s="66">
        <f t="shared" si="2"/>
        <v>94172800</v>
      </c>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87"/>
      <c r="AE134" s="87"/>
    </row>
    <row r="135">
      <c r="A135" s="97">
        <f t="shared" si="3"/>
        <v>131</v>
      </c>
      <c r="B135" s="110">
        <v>2475.0</v>
      </c>
      <c r="C135" s="110">
        <v>3500000.0</v>
      </c>
      <c r="D135" s="66">
        <f t="shared" si="1"/>
        <v>67878</v>
      </c>
      <c r="E135" s="66">
        <f t="shared" si="2"/>
        <v>97672800</v>
      </c>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87"/>
      <c r="AE135" s="87"/>
    </row>
    <row r="136">
      <c r="A136" s="97">
        <f t="shared" si="3"/>
        <v>132</v>
      </c>
      <c r="B136" s="110">
        <v>2475.0</v>
      </c>
      <c r="C136" s="110">
        <v>3500000.0</v>
      </c>
      <c r="D136" s="66">
        <f t="shared" si="1"/>
        <v>70353</v>
      </c>
      <c r="E136" s="66">
        <f t="shared" si="2"/>
        <v>101172800</v>
      </c>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87"/>
      <c r="AE136" s="87"/>
    </row>
    <row r="137">
      <c r="A137" s="97">
        <f t="shared" si="3"/>
        <v>133</v>
      </c>
      <c r="B137" s="110">
        <v>2475.0</v>
      </c>
      <c r="C137" s="110">
        <v>3500000.0</v>
      </c>
      <c r="D137" s="66">
        <f t="shared" si="1"/>
        <v>72828</v>
      </c>
      <c r="E137" s="66">
        <f t="shared" si="2"/>
        <v>104672800</v>
      </c>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87"/>
      <c r="AE137" s="87"/>
    </row>
    <row r="138">
      <c r="A138" s="97">
        <f t="shared" si="3"/>
        <v>134</v>
      </c>
      <c r="B138" s="110">
        <v>2475.0</v>
      </c>
      <c r="C138" s="110">
        <v>3500000.0</v>
      </c>
      <c r="D138" s="66">
        <f t="shared" si="1"/>
        <v>75303</v>
      </c>
      <c r="E138" s="66">
        <f t="shared" si="2"/>
        <v>108172800</v>
      </c>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87"/>
      <c r="AE138" s="87"/>
    </row>
    <row r="139">
      <c r="A139" s="97">
        <f t="shared" si="3"/>
        <v>135</v>
      </c>
      <c r="B139" s="110">
        <v>2475.0</v>
      </c>
      <c r="C139" s="110">
        <v>3500000.0</v>
      </c>
      <c r="D139" s="66">
        <f t="shared" si="1"/>
        <v>77778</v>
      </c>
      <c r="E139" s="66">
        <f t="shared" si="2"/>
        <v>111672800</v>
      </c>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87"/>
      <c r="AE139" s="87"/>
    </row>
    <row r="140">
      <c r="A140" s="97">
        <f t="shared" si="3"/>
        <v>136</v>
      </c>
      <c r="B140" s="110">
        <v>2475.0</v>
      </c>
      <c r="C140" s="110">
        <v>3500000.0</v>
      </c>
      <c r="D140" s="66">
        <f t="shared" si="1"/>
        <v>80253</v>
      </c>
      <c r="E140" s="66">
        <f t="shared" si="2"/>
        <v>115172800</v>
      </c>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87"/>
      <c r="AE140" s="87"/>
    </row>
    <row r="141">
      <c r="A141" s="97">
        <f t="shared" si="3"/>
        <v>137</v>
      </c>
      <c r="B141" s="110">
        <v>2475.0</v>
      </c>
      <c r="C141" s="110">
        <v>3500000.0</v>
      </c>
      <c r="D141" s="66">
        <f t="shared" si="1"/>
        <v>82728</v>
      </c>
      <c r="E141" s="66">
        <f t="shared" si="2"/>
        <v>118672800</v>
      </c>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87"/>
      <c r="AE141" s="87"/>
    </row>
    <row r="142">
      <c r="A142" s="97">
        <f t="shared" si="3"/>
        <v>138</v>
      </c>
      <c r="B142" s="110">
        <v>2475.0</v>
      </c>
      <c r="C142" s="110">
        <v>3500000.0</v>
      </c>
      <c r="D142" s="66">
        <f t="shared" si="1"/>
        <v>85203</v>
      </c>
      <c r="E142" s="66">
        <f t="shared" si="2"/>
        <v>122172800</v>
      </c>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87"/>
      <c r="AE142" s="87"/>
    </row>
    <row r="143">
      <c r="A143" s="97">
        <f t="shared" si="3"/>
        <v>139</v>
      </c>
      <c r="B143" s="110">
        <v>2475.0</v>
      </c>
      <c r="C143" s="110">
        <v>6500000.0</v>
      </c>
      <c r="D143" s="66">
        <f t="shared" si="1"/>
        <v>87678</v>
      </c>
      <c r="E143" s="66">
        <f t="shared" si="2"/>
        <v>128672800</v>
      </c>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87"/>
      <c r="AE143" s="87"/>
    </row>
    <row r="144">
      <c r="A144" s="97">
        <f t="shared" si="3"/>
        <v>140</v>
      </c>
      <c r="B144" s="110">
        <v>2970.0</v>
      </c>
      <c r="C144" s="110">
        <v>6500000.0</v>
      </c>
      <c r="D144" s="66">
        <f t="shared" si="1"/>
        <v>90648</v>
      </c>
      <c r="E144" s="66">
        <f t="shared" si="2"/>
        <v>135172800</v>
      </c>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87"/>
      <c r="AE144" s="87"/>
    </row>
    <row r="145">
      <c r="A145" s="97">
        <f t="shared" si="3"/>
        <v>141</v>
      </c>
      <c r="B145" s="110">
        <v>2970.0</v>
      </c>
      <c r="C145" s="110">
        <v>6500000.0</v>
      </c>
      <c r="D145" s="66">
        <f t="shared" si="1"/>
        <v>93618</v>
      </c>
      <c r="E145" s="66">
        <f t="shared" si="2"/>
        <v>141672800</v>
      </c>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87"/>
      <c r="AE145" s="87"/>
    </row>
    <row r="146">
      <c r="A146" s="97">
        <f t="shared" si="3"/>
        <v>142</v>
      </c>
      <c r="B146" s="110">
        <v>2970.0</v>
      </c>
      <c r="C146" s="110">
        <v>6500000.0</v>
      </c>
      <c r="D146" s="66">
        <f t="shared" si="1"/>
        <v>96588</v>
      </c>
      <c r="E146" s="66">
        <f t="shared" si="2"/>
        <v>148172800</v>
      </c>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87"/>
      <c r="AE146" s="87"/>
    </row>
    <row r="147">
      <c r="A147" s="97">
        <f t="shared" si="3"/>
        <v>143</v>
      </c>
      <c r="B147" s="110">
        <v>2970.0</v>
      </c>
      <c r="C147" s="110">
        <v>6500000.0</v>
      </c>
      <c r="D147" s="66">
        <f t="shared" si="1"/>
        <v>99558</v>
      </c>
      <c r="E147" s="66">
        <f t="shared" si="2"/>
        <v>154672800</v>
      </c>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87"/>
      <c r="AE147" s="87"/>
    </row>
    <row r="148">
      <c r="A148" s="97">
        <f t="shared" si="3"/>
        <v>144</v>
      </c>
      <c r="B148" s="110">
        <v>2970.0</v>
      </c>
      <c r="C148" s="110">
        <v>6500000.0</v>
      </c>
      <c r="D148" s="66">
        <f t="shared" si="1"/>
        <v>102528</v>
      </c>
      <c r="E148" s="66">
        <f t="shared" si="2"/>
        <v>161172800</v>
      </c>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87"/>
      <c r="AE148" s="87"/>
    </row>
    <row r="149">
      <c r="A149" s="97">
        <f t="shared" si="3"/>
        <v>145</v>
      </c>
      <c r="B149" s="110">
        <v>2970.0</v>
      </c>
      <c r="C149" s="110">
        <v>6500000.0</v>
      </c>
      <c r="D149" s="66">
        <f t="shared" si="1"/>
        <v>105498</v>
      </c>
      <c r="E149" s="66">
        <f t="shared" si="2"/>
        <v>167672800</v>
      </c>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87"/>
      <c r="AE149" s="87"/>
    </row>
    <row r="150">
      <c r="A150" s="97">
        <f t="shared" si="3"/>
        <v>146</v>
      </c>
      <c r="B150" s="110">
        <v>2970.0</v>
      </c>
      <c r="C150" s="110">
        <v>6500000.0</v>
      </c>
      <c r="D150" s="66">
        <f t="shared" si="1"/>
        <v>108468</v>
      </c>
      <c r="E150" s="66">
        <f t="shared" si="2"/>
        <v>174172800</v>
      </c>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87"/>
      <c r="AE150" s="87"/>
    </row>
    <row r="151">
      <c r="A151" s="97">
        <f t="shared" si="3"/>
        <v>147</v>
      </c>
      <c r="B151" s="110">
        <v>2970.0</v>
      </c>
      <c r="C151" s="110">
        <v>6500000.0</v>
      </c>
      <c r="D151" s="66">
        <f t="shared" si="1"/>
        <v>111438</v>
      </c>
      <c r="E151" s="66">
        <f t="shared" si="2"/>
        <v>180672800</v>
      </c>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87"/>
      <c r="AE151" s="87"/>
    </row>
    <row r="152">
      <c r="A152" s="97">
        <f t="shared" si="3"/>
        <v>148</v>
      </c>
      <c r="B152" s="110">
        <v>2970.0</v>
      </c>
      <c r="C152" s="110">
        <v>6500000.0</v>
      </c>
      <c r="D152" s="66">
        <f t="shared" si="1"/>
        <v>114408</v>
      </c>
      <c r="E152" s="66">
        <f t="shared" si="2"/>
        <v>187172800</v>
      </c>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87"/>
      <c r="AE152" s="87"/>
    </row>
    <row r="153">
      <c r="A153" s="97">
        <f t="shared" si="3"/>
        <v>149</v>
      </c>
      <c r="B153" s="110">
        <v>2970.0</v>
      </c>
      <c r="C153" s="110">
        <v>6500000.0</v>
      </c>
      <c r="D153" s="66">
        <f t="shared" si="1"/>
        <v>117378</v>
      </c>
      <c r="E153" s="66">
        <f t="shared" si="2"/>
        <v>193672800</v>
      </c>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87"/>
      <c r="AE153" s="87"/>
    </row>
    <row r="154">
      <c r="A154" s="97">
        <f t="shared" si="3"/>
        <v>150</v>
      </c>
      <c r="B154" s="110">
        <v>3960.0</v>
      </c>
      <c r="C154" s="110">
        <v>6500000.0</v>
      </c>
      <c r="D154" s="66">
        <f t="shared" si="1"/>
        <v>121338</v>
      </c>
      <c r="E154" s="66">
        <f t="shared" si="2"/>
        <v>200172800</v>
      </c>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87"/>
      <c r="AE154" s="87"/>
    </row>
    <row r="155">
      <c r="A155" s="97">
        <f t="shared" si="3"/>
        <v>151</v>
      </c>
      <c r="B155" s="110">
        <v>3960.0</v>
      </c>
      <c r="C155" s="110">
        <v>6500000.0</v>
      </c>
      <c r="D155" s="66">
        <f t="shared" si="1"/>
        <v>125298</v>
      </c>
      <c r="E155" s="66">
        <f t="shared" si="2"/>
        <v>206672800</v>
      </c>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87"/>
      <c r="AE155" s="87"/>
    </row>
    <row r="156">
      <c r="A156" s="97">
        <f t="shared" si="3"/>
        <v>152</v>
      </c>
      <c r="B156" s="110">
        <v>3960.0</v>
      </c>
      <c r="C156" s="110">
        <v>6500000.0</v>
      </c>
      <c r="D156" s="66">
        <f t="shared" si="1"/>
        <v>129258</v>
      </c>
      <c r="E156" s="66">
        <f t="shared" si="2"/>
        <v>213172800</v>
      </c>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87"/>
      <c r="AE156" s="87"/>
    </row>
    <row r="157">
      <c r="A157" s="97">
        <f t="shared" si="3"/>
        <v>153</v>
      </c>
      <c r="B157" s="110">
        <v>3960.0</v>
      </c>
      <c r="C157" s="110">
        <v>6500000.0</v>
      </c>
      <c r="D157" s="66">
        <f t="shared" si="1"/>
        <v>133218</v>
      </c>
      <c r="E157" s="66">
        <f t="shared" si="2"/>
        <v>219672800</v>
      </c>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87"/>
      <c r="AE157" s="87"/>
    </row>
    <row r="158">
      <c r="A158" s="97">
        <f t="shared" si="3"/>
        <v>154</v>
      </c>
      <c r="B158" s="110">
        <v>3960.0</v>
      </c>
      <c r="C158" s="110">
        <v>6500000.0</v>
      </c>
      <c r="D158" s="66">
        <f t="shared" si="1"/>
        <v>137178</v>
      </c>
      <c r="E158" s="66">
        <f t="shared" si="2"/>
        <v>226172800</v>
      </c>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87"/>
      <c r="AE158" s="87"/>
    </row>
    <row r="159">
      <c r="A159" s="97">
        <f t="shared" si="3"/>
        <v>155</v>
      </c>
      <c r="B159" s="110">
        <v>3960.0</v>
      </c>
      <c r="C159" s="110">
        <v>6500000.0</v>
      </c>
      <c r="D159" s="66">
        <f t="shared" si="1"/>
        <v>141138</v>
      </c>
      <c r="E159" s="66">
        <f t="shared" si="2"/>
        <v>232672800</v>
      </c>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87"/>
      <c r="AE159" s="87"/>
    </row>
    <row r="160">
      <c r="A160" s="97">
        <f t="shared" si="3"/>
        <v>156</v>
      </c>
      <c r="B160" s="110">
        <v>3960.0</v>
      </c>
      <c r="C160" s="110">
        <v>6500000.0</v>
      </c>
      <c r="D160" s="66">
        <f t="shared" si="1"/>
        <v>145098</v>
      </c>
      <c r="E160" s="66">
        <f t="shared" si="2"/>
        <v>239172800</v>
      </c>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87"/>
      <c r="AE160" s="87"/>
    </row>
    <row r="161">
      <c r="A161" s="97">
        <f t="shared" si="3"/>
        <v>157</v>
      </c>
      <c r="B161" s="110">
        <v>3960.0</v>
      </c>
      <c r="C161" s="110">
        <v>6500000.0</v>
      </c>
      <c r="D161" s="66">
        <f t="shared" si="1"/>
        <v>149058</v>
      </c>
      <c r="E161" s="66">
        <f t="shared" si="2"/>
        <v>245672800</v>
      </c>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87"/>
      <c r="AE161" s="87"/>
    </row>
    <row r="162">
      <c r="A162" s="97">
        <f t="shared" si="3"/>
        <v>158</v>
      </c>
      <c r="B162" s="110">
        <v>3960.0</v>
      </c>
      <c r="C162" s="110">
        <v>6500000.0</v>
      </c>
      <c r="D162" s="66">
        <f t="shared" si="1"/>
        <v>153018</v>
      </c>
      <c r="E162" s="66">
        <f t="shared" si="2"/>
        <v>252172800</v>
      </c>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87"/>
      <c r="AE162" s="87"/>
    </row>
    <row r="163">
      <c r="A163" s="97">
        <f t="shared" si="3"/>
        <v>159</v>
      </c>
      <c r="B163" s="110">
        <v>3960.0</v>
      </c>
      <c r="C163" s="110">
        <v>6640000.0</v>
      </c>
      <c r="D163" s="66">
        <f t="shared" si="1"/>
        <v>156978</v>
      </c>
      <c r="E163" s="66">
        <f t="shared" si="2"/>
        <v>258812800</v>
      </c>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87"/>
      <c r="AE163" s="87"/>
    </row>
    <row r="164">
      <c r="A164" s="97">
        <f t="shared" si="3"/>
        <v>160</v>
      </c>
      <c r="B164" s="88"/>
      <c r="C164" s="88"/>
      <c r="D164" s="89"/>
      <c r="E164" s="89"/>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87"/>
      <c r="AE164" s="87"/>
    </row>
    <row r="165">
      <c r="A165" s="97">
        <f t="shared" si="3"/>
        <v>161</v>
      </c>
      <c r="B165" s="88"/>
      <c r="C165" s="88"/>
      <c r="D165" s="89"/>
      <c r="E165" s="89"/>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87"/>
      <c r="AE165" s="87"/>
    </row>
    <row r="166">
      <c r="A166" s="97">
        <f t="shared" si="3"/>
        <v>162</v>
      </c>
      <c r="B166" s="88"/>
      <c r="C166" s="88"/>
      <c r="D166" s="89"/>
      <c r="E166" s="89"/>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87"/>
      <c r="AE166" s="87"/>
    </row>
    <row r="167">
      <c r="A167" s="97">
        <f t="shared" si="3"/>
        <v>163</v>
      </c>
      <c r="B167" s="88"/>
      <c r="C167" s="88"/>
      <c r="D167" s="89"/>
      <c r="E167" s="89"/>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87"/>
      <c r="AE167" s="87"/>
    </row>
    <row r="168">
      <c r="A168" s="97">
        <f t="shared" si="3"/>
        <v>164</v>
      </c>
      <c r="B168" s="88"/>
      <c r="C168" s="88"/>
      <c r="D168" s="89"/>
      <c r="E168" s="89"/>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87"/>
      <c r="AE168" s="87"/>
    </row>
    <row r="169">
      <c r="A169" s="97">
        <f t="shared" si="3"/>
        <v>165</v>
      </c>
      <c r="B169" s="88"/>
      <c r="C169" s="88"/>
      <c r="D169" s="89"/>
      <c r="E169" s="89"/>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87"/>
      <c r="AE169" s="87"/>
    </row>
    <row r="170">
      <c r="A170" s="97">
        <f t="shared" si="3"/>
        <v>166</v>
      </c>
      <c r="B170" s="88"/>
      <c r="C170" s="88"/>
      <c r="D170" s="89"/>
      <c r="E170" s="89"/>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87"/>
      <c r="AE170" s="87"/>
    </row>
    <row r="171">
      <c r="A171" s="97">
        <f t="shared" si="3"/>
        <v>167</v>
      </c>
      <c r="B171" s="88"/>
      <c r="C171" s="88"/>
      <c r="D171" s="89"/>
      <c r="E171" s="89"/>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87"/>
      <c r="AE171" s="87"/>
    </row>
    <row r="172">
      <c r="A172" s="97">
        <f t="shared" si="3"/>
        <v>168</v>
      </c>
      <c r="B172" s="88"/>
      <c r="C172" s="88"/>
      <c r="D172" s="89"/>
      <c r="E172" s="89"/>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87"/>
      <c r="AE172" s="87"/>
    </row>
    <row r="173">
      <c r="A173" s="97">
        <f t="shared" si="3"/>
        <v>169</v>
      </c>
      <c r="B173" s="88"/>
      <c r="C173" s="88"/>
      <c r="D173" s="89"/>
      <c r="E173" s="89"/>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87"/>
      <c r="AE173" s="87"/>
    </row>
    <row r="174">
      <c r="A174" s="97">
        <f t="shared" si="3"/>
        <v>170</v>
      </c>
      <c r="B174" s="88"/>
      <c r="C174" s="88"/>
      <c r="D174" s="89"/>
      <c r="E174" s="89"/>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87"/>
      <c r="AE174" s="87"/>
    </row>
    <row r="175">
      <c r="A175" s="97">
        <f t="shared" si="3"/>
        <v>171</v>
      </c>
      <c r="B175" s="88"/>
      <c r="C175" s="88"/>
      <c r="D175" s="89"/>
      <c r="E175" s="89"/>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87"/>
      <c r="AE175" s="87"/>
    </row>
    <row r="176">
      <c r="A176" s="97">
        <f t="shared" si="3"/>
        <v>172</v>
      </c>
      <c r="B176" s="88"/>
      <c r="C176" s="88"/>
      <c r="D176" s="89"/>
      <c r="E176" s="89"/>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87"/>
      <c r="AE176" s="87"/>
    </row>
    <row r="177">
      <c r="A177" s="97">
        <f t="shared" si="3"/>
        <v>173</v>
      </c>
      <c r="B177" s="88"/>
      <c r="C177" s="88"/>
      <c r="D177" s="89"/>
      <c r="E177" s="89"/>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87"/>
      <c r="AE177" s="87"/>
    </row>
    <row r="178">
      <c r="A178" s="97">
        <f t="shared" si="3"/>
        <v>174</v>
      </c>
      <c r="B178" s="88"/>
      <c r="C178" s="88"/>
      <c r="D178" s="89"/>
      <c r="E178" s="89"/>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87"/>
      <c r="AE178" s="87"/>
    </row>
    <row r="179">
      <c r="A179" s="97">
        <f t="shared" si="3"/>
        <v>175</v>
      </c>
      <c r="B179" s="88"/>
      <c r="C179" s="88"/>
      <c r="D179" s="89"/>
      <c r="E179" s="89"/>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87"/>
      <c r="AE179" s="87"/>
    </row>
    <row r="180">
      <c r="A180" s="97">
        <f t="shared" si="3"/>
        <v>176</v>
      </c>
      <c r="B180" s="88"/>
      <c r="C180" s="88"/>
      <c r="D180" s="89"/>
      <c r="E180" s="89"/>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87"/>
      <c r="AE180" s="87"/>
    </row>
    <row r="181">
      <c r="A181" s="97">
        <f t="shared" si="3"/>
        <v>177</v>
      </c>
      <c r="B181" s="88"/>
      <c r="C181" s="88"/>
      <c r="D181" s="89"/>
      <c r="E181" s="89"/>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87"/>
      <c r="AE181" s="87"/>
    </row>
    <row r="182">
      <c r="A182" s="97">
        <f t="shared" si="3"/>
        <v>178</v>
      </c>
      <c r="B182" s="88"/>
      <c r="C182" s="88"/>
      <c r="D182" s="89"/>
      <c r="E182" s="89"/>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87"/>
      <c r="AE182" s="87"/>
    </row>
    <row r="183">
      <c r="A183" s="97">
        <f t="shared" si="3"/>
        <v>179</v>
      </c>
      <c r="B183" s="88"/>
      <c r="C183" s="88"/>
      <c r="D183" s="89"/>
      <c r="E183" s="89"/>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87"/>
      <c r="AE183" s="87"/>
    </row>
    <row r="184">
      <c r="A184" s="97">
        <f t="shared" si="3"/>
        <v>180</v>
      </c>
      <c r="B184" s="88"/>
      <c r="C184" s="88"/>
      <c r="D184" s="89"/>
      <c r="E184" s="89"/>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87"/>
      <c r="AE184" s="87"/>
    </row>
    <row r="185">
      <c r="A185" s="97">
        <f t="shared" si="3"/>
        <v>181</v>
      </c>
      <c r="B185" s="88"/>
      <c r="C185" s="88"/>
      <c r="D185" s="89"/>
      <c r="E185" s="89"/>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87"/>
      <c r="AE185" s="87"/>
    </row>
    <row r="186">
      <c r="A186" s="97">
        <f t="shared" si="3"/>
        <v>182</v>
      </c>
      <c r="B186" s="88"/>
      <c r="C186" s="88"/>
      <c r="D186" s="89"/>
      <c r="E186" s="89"/>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87"/>
      <c r="AE186" s="87"/>
    </row>
    <row r="187">
      <c r="A187" s="97">
        <f t="shared" si="3"/>
        <v>183</v>
      </c>
      <c r="B187" s="88"/>
      <c r="C187" s="88"/>
      <c r="D187" s="89"/>
      <c r="E187" s="89"/>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87"/>
      <c r="AE187" s="87"/>
    </row>
    <row r="188">
      <c r="A188" s="97">
        <f t="shared" si="3"/>
        <v>184</v>
      </c>
      <c r="B188" s="88"/>
      <c r="C188" s="88"/>
      <c r="D188" s="89"/>
      <c r="E188" s="89"/>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87"/>
      <c r="AE188" s="87"/>
    </row>
    <row r="189">
      <c r="A189" s="97">
        <f t="shared" si="3"/>
        <v>185</v>
      </c>
      <c r="B189" s="88"/>
      <c r="C189" s="88"/>
      <c r="D189" s="89"/>
      <c r="E189" s="89"/>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87"/>
      <c r="AE189" s="87"/>
    </row>
    <row r="190">
      <c r="A190" s="97">
        <f t="shared" si="3"/>
        <v>186</v>
      </c>
      <c r="B190" s="88"/>
      <c r="C190" s="88"/>
      <c r="D190" s="89"/>
      <c r="E190" s="89"/>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87"/>
      <c r="AE190" s="87"/>
    </row>
    <row r="191">
      <c r="A191" s="97">
        <f t="shared" si="3"/>
        <v>187</v>
      </c>
      <c r="B191" s="88"/>
      <c r="C191" s="88"/>
      <c r="D191" s="89"/>
      <c r="E191" s="89"/>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87"/>
      <c r="AE191" s="87"/>
    </row>
    <row r="192">
      <c r="A192" s="97">
        <f t="shared" si="3"/>
        <v>188</v>
      </c>
      <c r="B192" s="88"/>
      <c r="C192" s="88"/>
      <c r="D192" s="89"/>
      <c r="E192" s="89"/>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87"/>
      <c r="AE192" s="87"/>
    </row>
    <row r="193">
      <c r="A193" s="97">
        <f t="shared" si="3"/>
        <v>189</v>
      </c>
      <c r="B193" s="88"/>
      <c r="C193" s="88"/>
      <c r="D193" s="89"/>
      <c r="E193" s="89"/>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87"/>
      <c r="AE193" s="87"/>
    </row>
    <row r="194">
      <c r="A194" s="97">
        <f t="shared" si="3"/>
        <v>190</v>
      </c>
      <c r="B194" s="88"/>
      <c r="C194" s="88"/>
      <c r="D194" s="89"/>
      <c r="E194" s="89"/>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87"/>
      <c r="AE194" s="87"/>
    </row>
    <row r="195">
      <c r="A195" s="97">
        <f t="shared" si="3"/>
        <v>191</v>
      </c>
      <c r="B195" s="88"/>
      <c r="C195" s="88"/>
      <c r="D195" s="89"/>
      <c r="E195" s="89"/>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87"/>
      <c r="AE195" s="87"/>
    </row>
    <row r="196">
      <c r="A196" s="97">
        <f t="shared" si="3"/>
        <v>192</v>
      </c>
      <c r="B196" s="88"/>
      <c r="C196" s="88"/>
      <c r="D196" s="89"/>
      <c r="E196" s="89"/>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87"/>
      <c r="AE196" s="87"/>
    </row>
    <row r="197">
      <c r="A197" s="97">
        <f t="shared" si="3"/>
        <v>193</v>
      </c>
      <c r="B197" s="88"/>
      <c r="C197" s="88"/>
      <c r="D197" s="89"/>
      <c r="E197" s="89"/>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87"/>
      <c r="AE197" s="87"/>
    </row>
    <row r="198">
      <c r="A198" s="97">
        <f t="shared" si="3"/>
        <v>194</v>
      </c>
      <c r="B198" s="88"/>
      <c r="C198" s="88"/>
      <c r="D198" s="89"/>
      <c r="E198" s="89"/>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87"/>
      <c r="AE198" s="87"/>
    </row>
    <row r="199">
      <c r="A199" s="97">
        <f t="shared" si="3"/>
        <v>195</v>
      </c>
      <c r="B199" s="88"/>
      <c r="C199" s="88"/>
      <c r="D199" s="89"/>
      <c r="E199" s="89"/>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87"/>
      <c r="AE199" s="87"/>
    </row>
    <row r="200">
      <c r="A200" s="97">
        <f t="shared" si="3"/>
        <v>196</v>
      </c>
      <c r="B200" s="88"/>
      <c r="C200" s="88"/>
      <c r="D200" s="89"/>
      <c r="E200" s="89"/>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87"/>
      <c r="AE200" s="87"/>
    </row>
    <row r="201">
      <c r="A201" s="97">
        <f t="shared" si="3"/>
        <v>197</v>
      </c>
      <c r="B201" s="88"/>
      <c r="C201" s="88"/>
      <c r="D201" s="89"/>
      <c r="E201" s="89"/>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87"/>
      <c r="AE201" s="87"/>
    </row>
    <row r="202">
      <c r="A202" s="97">
        <f t="shared" si="3"/>
        <v>198</v>
      </c>
      <c r="B202" s="88"/>
      <c r="C202" s="88"/>
      <c r="D202" s="89"/>
      <c r="E202" s="89"/>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87"/>
      <c r="AE202" s="87"/>
    </row>
    <row r="203">
      <c r="A203" s="97">
        <f t="shared" si="3"/>
        <v>199</v>
      </c>
      <c r="B203" s="88"/>
      <c r="C203" s="88"/>
      <c r="D203" s="89"/>
      <c r="E203" s="89"/>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87"/>
      <c r="AE203" s="87"/>
    </row>
    <row r="204">
      <c r="A204" s="97">
        <f t="shared" si="3"/>
        <v>200</v>
      </c>
      <c r="B204" s="88"/>
      <c r="C204" s="88"/>
      <c r="D204" s="89"/>
      <c r="E204" s="89"/>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87"/>
      <c r="AE204" s="87"/>
    </row>
    <row r="205">
      <c r="A205" s="97">
        <f t="shared" si="3"/>
        <v>201</v>
      </c>
      <c r="B205" s="88"/>
      <c r="C205" s="88"/>
      <c r="D205" s="89"/>
      <c r="E205" s="89"/>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87"/>
      <c r="AE205" s="87"/>
    </row>
    <row r="206">
      <c r="A206" s="97">
        <f t="shared" si="3"/>
        <v>202</v>
      </c>
      <c r="B206" s="88"/>
      <c r="C206" s="88"/>
      <c r="D206" s="89"/>
      <c r="E206" s="89"/>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87"/>
      <c r="AE206" s="87"/>
    </row>
    <row r="207">
      <c r="A207" s="97">
        <f t="shared" si="3"/>
        <v>203</v>
      </c>
      <c r="B207" s="88"/>
      <c r="C207" s="88"/>
      <c r="D207" s="89"/>
      <c r="E207" s="89"/>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87"/>
      <c r="AE207" s="87"/>
    </row>
    <row r="208">
      <c r="A208" s="97">
        <f t="shared" si="3"/>
        <v>204</v>
      </c>
      <c r="B208" s="88"/>
      <c r="C208" s="88"/>
      <c r="D208" s="89"/>
      <c r="E208" s="89"/>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87"/>
      <c r="AE208" s="87"/>
    </row>
    <row r="209">
      <c r="A209" s="97">
        <f t="shared" si="3"/>
        <v>205</v>
      </c>
      <c r="B209" s="88"/>
      <c r="C209" s="88"/>
      <c r="D209" s="89"/>
      <c r="E209" s="89"/>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87"/>
      <c r="AE209" s="87"/>
    </row>
    <row r="210">
      <c r="A210" s="97">
        <f t="shared" si="3"/>
        <v>206</v>
      </c>
      <c r="B210" s="88"/>
      <c r="C210" s="88"/>
      <c r="D210" s="89"/>
      <c r="E210" s="89"/>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87"/>
      <c r="AE210" s="87"/>
    </row>
    <row r="211">
      <c r="A211" s="97">
        <f t="shared" si="3"/>
        <v>207</v>
      </c>
      <c r="B211" s="88"/>
      <c r="C211" s="88"/>
      <c r="D211" s="89"/>
      <c r="E211" s="89"/>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87"/>
      <c r="AE211" s="87"/>
    </row>
    <row r="212">
      <c r="A212" s="97">
        <f t="shared" si="3"/>
        <v>208</v>
      </c>
      <c r="B212" s="88"/>
      <c r="C212" s="88"/>
      <c r="D212" s="89"/>
      <c r="E212" s="89"/>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87"/>
      <c r="AE212" s="87"/>
    </row>
    <row r="213">
      <c r="A213" s="97">
        <f t="shared" si="3"/>
        <v>209</v>
      </c>
      <c r="B213" s="88"/>
      <c r="C213" s="88"/>
      <c r="D213" s="89"/>
      <c r="E213" s="89"/>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87"/>
      <c r="AE213" s="87"/>
    </row>
    <row r="214">
      <c r="A214" s="97">
        <f t="shared" si="3"/>
        <v>210</v>
      </c>
      <c r="B214" s="88"/>
      <c r="C214" s="88"/>
      <c r="D214" s="89"/>
      <c r="E214" s="89"/>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87"/>
      <c r="AE214" s="87"/>
    </row>
    <row r="215">
      <c r="A215" s="97">
        <f t="shared" si="3"/>
        <v>211</v>
      </c>
      <c r="B215" s="88"/>
      <c r="C215" s="88"/>
      <c r="D215" s="89"/>
      <c r="E215" s="89"/>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87"/>
      <c r="AE215" s="87"/>
    </row>
    <row r="216">
      <c r="A216" s="97">
        <f t="shared" si="3"/>
        <v>212</v>
      </c>
      <c r="B216" s="88"/>
      <c r="C216" s="88"/>
      <c r="D216" s="89"/>
      <c r="E216" s="89"/>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87"/>
      <c r="AE216" s="87"/>
    </row>
    <row r="217">
      <c r="A217" s="97">
        <f t="shared" si="3"/>
        <v>213</v>
      </c>
      <c r="B217" s="88"/>
      <c r="C217" s="88"/>
      <c r="D217" s="89"/>
      <c r="E217" s="89"/>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87"/>
      <c r="AE217" s="87"/>
    </row>
    <row r="218">
      <c r="A218" s="97">
        <f t="shared" si="3"/>
        <v>214</v>
      </c>
      <c r="B218" s="88"/>
      <c r="C218" s="88"/>
      <c r="D218" s="89"/>
      <c r="E218" s="89"/>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87"/>
      <c r="AE218" s="87"/>
    </row>
    <row r="219">
      <c r="A219" s="97">
        <f t="shared" si="3"/>
        <v>215</v>
      </c>
      <c r="B219" s="88"/>
      <c r="C219" s="88"/>
      <c r="D219" s="89"/>
      <c r="E219" s="89"/>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87"/>
      <c r="AE219" s="87"/>
    </row>
    <row r="220">
      <c r="A220" s="97">
        <f t="shared" si="3"/>
        <v>216</v>
      </c>
      <c r="B220" s="88"/>
      <c r="C220" s="88"/>
      <c r="D220" s="89"/>
      <c r="E220" s="89"/>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87"/>
      <c r="AE220" s="87"/>
    </row>
    <row r="221">
      <c r="A221" s="97">
        <f t="shared" si="3"/>
        <v>217</v>
      </c>
      <c r="B221" s="88"/>
      <c r="C221" s="88"/>
      <c r="D221" s="89"/>
      <c r="E221" s="89"/>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87"/>
      <c r="AE221" s="87"/>
    </row>
    <row r="222">
      <c r="A222" s="97">
        <f t="shared" si="3"/>
        <v>218</v>
      </c>
      <c r="B222" s="88"/>
      <c r="C222" s="88"/>
      <c r="D222" s="89"/>
      <c r="E222" s="89"/>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87"/>
      <c r="AE222" s="87"/>
    </row>
    <row r="223">
      <c r="A223" s="97">
        <f t="shared" si="3"/>
        <v>219</v>
      </c>
      <c r="B223" s="88"/>
      <c r="C223" s="88"/>
      <c r="D223" s="89"/>
      <c r="E223" s="89"/>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87"/>
      <c r="AE223" s="87"/>
    </row>
    <row r="224">
      <c r="A224" s="97">
        <f t="shared" si="3"/>
        <v>220</v>
      </c>
      <c r="B224" s="88"/>
      <c r="C224" s="88"/>
      <c r="D224" s="89"/>
      <c r="E224" s="89"/>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87"/>
      <c r="AE224" s="87"/>
    </row>
    <row r="225">
      <c r="A225" s="97">
        <f t="shared" si="3"/>
        <v>221</v>
      </c>
      <c r="B225" s="88"/>
      <c r="C225" s="88"/>
      <c r="D225" s="89"/>
      <c r="E225" s="89"/>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87"/>
      <c r="AE225" s="87"/>
    </row>
    <row r="226">
      <c r="A226" s="97">
        <f t="shared" si="3"/>
        <v>222</v>
      </c>
      <c r="B226" s="88"/>
      <c r="C226" s="88"/>
      <c r="D226" s="89"/>
      <c r="E226" s="89"/>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87"/>
      <c r="AE226" s="87"/>
    </row>
    <row r="227">
      <c r="A227" s="97">
        <f t="shared" si="3"/>
        <v>223</v>
      </c>
      <c r="B227" s="88"/>
      <c r="C227" s="88"/>
      <c r="D227" s="89"/>
      <c r="E227" s="89"/>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87"/>
      <c r="AE227" s="87"/>
    </row>
    <row r="228">
      <c r="A228" s="97">
        <f t="shared" si="3"/>
        <v>224</v>
      </c>
      <c r="B228" s="88"/>
      <c r="C228" s="88"/>
      <c r="D228" s="89"/>
      <c r="E228" s="89"/>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87"/>
      <c r="AE228" s="87"/>
    </row>
    <row r="229">
      <c r="A229" s="97">
        <f t="shared" si="3"/>
        <v>225</v>
      </c>
      <c r="B229" s="88"/>
      <c r="C229" s="88"/>
      <c r="D229" s="89"/>
      <c r="E229" s="89"/>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87"/>
      <c r="AE229" s="87"/>
    </row>
    <row r="230">
      <c r="A230" s="97">
        <f t="shared" si="3"/>
        <v>226</v>
      </c>
      <c r="B230" s="88"/>
      <c r="C230" s="88"/>
      <c r="D230" s="89"/>
      <c r="E230" s="89"/>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87"/>
      <c r="AE230" s="87"/>
    </row>
    <row r="231">
      <c r="A231" s="97">
        <f t="shared" si="3"/>
        <v>227</v>
      </c>
      <c r="B231" s="88"/>
      <c r="C231" s="88"/>
      <c r="D231" s="89"/>
      <c r="E231" s="89"/>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87"/>
      <c r="AE231" s="87"/>
    </row>
    <row r="232">
      <c r="A232" s="97">
        <f t="shared" si="3"/>
        <v>228</v>
      </c>
      <c r="B232" s="88"/>
      <c r="C232" s="88"/>
      <c r="D232" s="89"/>
      <c r="E232" s="89"/>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87"/>
      <c r="AE232" s="87"/>
    </row>
    <row r="233">
      <c r="A233" s="97">
        <f t="shared" si="3"/>
        <v>229</v>
      </c>
      <c r="B233" s="88"/>
      <c r="C233" s="88"/>
      <c r="D233" s="89"/>
      <c r="E233" s="89"/>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87"/>
      <c r="AE233" s="87"/>
    </row>
    <row r="234">
      <c r="A234" s="97">
        <f t="shared" si="3"/>
        <v>230</v>
      </c>
      <c r="B234" s="88"/>
      <c r="C234" s="88"/>
      <c r="D234" s="89"/>
      <c r="E234" s="89"/>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87"/>
      <c r="AE234" s="87"/>
    </row>
    <row r="235">
      <c r="A235" s="97">
        <f t="shared" si="3"/>
        <v>231</v>
      </c>
      <c r="B235" s="88"/>
      <c r="C235" s="88"/>
      <c r="D235" s="89"/>
      <c r="E235" s="89"/>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87"/>
      <c r="AE235" s="87"/>
    </row>
    <row r="236">
      <c r="A236" s="97">
        <f t="shared" si="3"/>
        <v>232</v>
      </c>
      <c r="B236" s="88"/>
      <c r="C236" s="88"/>
      <c r="D236" s="89"/>
      <c r="E236" s="89"/>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87"/>
      <c r="AE236" s="87"/>
    </row>
    <row r="237">
      <c r="A237" s="97">
        <f t="shared" si="3"/>
        <v>233</v>
      </c>
      <c r="B237" s="88"/>
      <c r="C237" s="88"/>
      <c r="D237" s="89"/>
      <c r="E237" s="89"/>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87"/>
      <c r="AE237" s="87"/>
    </row>
    <row r="238">
      <c r="A238" s="97">
        <f t="shared" si="3"/>
        <v>234</v>
      </c>
      <c r="B238" s="88"/>
      <c r="C238" s="88"/>
      <c r="D238" s="89"/>
      <c r="E238" s="89"/>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87"/>
      <c r="AE238" s="87"/>
    </row>
    <row r="239">
      <c r="A239" s="97">
        <f t="shared" si="3"/>
        <v>235</v>
      </c>
      <c r="B239" s="88"/>
      <c r="C239" s="88"/>
      <c r="D239" s="89"/>
      <c r="E239" s="89"/>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87"/>
      <c r="AE239" s="87"/>
    </row>
    <row r="240">
      <c r="A240" s="97">
        <f t="shared" si="3"/>
        <v>236</v>
      </c>
      <c r="B240" s="88"/>
      <c r="C240" s="88"/>
      <c r="D240" s="89"/>
      <c r="E240" s="89"/>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87"/>
      <c r="AE240" s="87"/>
    </row>
    <row r="241">
      <c r="A241" s="97">
        <f t="shared" si="3"/>
        <v>237</v>
      </c>
      <c r="B241" s="88"/>
      <c r="C241" s="88"/>
      <c r="D241" s="89"/>
      <c r="E241" s="89"/>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87"/>
      <c r="AE241" s="87"/>
    </row>
    <row r="242">
      <c r="A242" s="97">
        <f t="shared" si="3"/>
        <v>238</v>
      </c>
      <c r="B242" s="88"/>
      <c r="C242" s="88"/>
      <c r="D242" s="89"/>
      <c r="E242" s="89"/>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87"/>
      <c r="AE242" s="87"/>
    </row>
    <row r="243">
      <c r="A243" s="97">
        <f t="shared" si="3"/>
        <v>239</v>
      </c>
      <c r="B243" s="88"/>
      <c r="C243" s="88"/>
      <c r="D243" s="89"/>
      <c r="E243" s="89"/>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87"/>
      <c r="AE243" s="87"/>
    </row>
    <row r="244">
      <c r="A244" s="97">
        <f t="shared" si="3"/>
        <v>240</v>
      </c>
      <c r="B244" s="88"/>
      <c r="C244" s="88"/>
      <c r="D244" s="89"/>
      <c r="E244" s="89"/>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87"/>
      <c r="AE244" s="87"/>
    </row>
    <row r="245">
      <c r="A245" s="97">
        <f t="shared" si="3"/>
        <v>241</v>
      </c>
      <c r="B245" s="88"/>
      <c r="C245" s="88"/>
      <c r="D245" s="89"/>
      <c r="E245" s="89"/>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87"/>
      <c r="AE245" s="87"/>
    </row>
    <row r="246">
      <c r="A246" s="97">
        <f t="shared" si="3"/>
        <v>242</v>
      </c>
      <c r="B246" s="88"/>
      <c r="C246" s="88"/>
      <c r="D246" s="89"/>
      <c r="E246" s="89"/>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87"/>
      <c r="AE246" s="87"/>
    </row>
    <row r="247">
      <c r="A247" s="97">
        <f t="shared" si="3"/>
        <v>243</v>
      </c>
      <c r="B247" s="88"/>
      <c r="C247" s="88"/>
      <c r="D247" s="89"/>
      <c r="E247" s="89"/>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87"/>
      <c r="AE247" s="87"/>
    </row>
    <row r="248">
      <c r="A248" s="97">
        <f t="shared" si="3"/>
        <v>244</v>
      </c>
      <c r="B248" s="88"/>
      <c r="C248" s="88"/>
      <c r="D248" s="89"/>
      <c r="E248" s="89"/>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87"/>
      <c r="AE248" s="87"/>
    </row>
    <row r="249">
      <c r="A249" s="97">
        <f t="shared" si="3"/>
        <v>245</v>
      </c>
      <c r="B249" s="88"/>
      <c r="C249" s="88"/>
      <c r="D249" s="89"/>
      <c r="E249" s="89"/>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87"/>
      <c r="AE249" s="87"/>
    </row>
    <row r="250">
      <c r="A250" s="97">
        <f t="shared" si="3"/>
        <v>246</v>
      </c>
      <c r="B250" s="88"/>
      <c r="C250" s="88"/>
      <c r="D250" s="89"/>
      <c r="E250" s="89"/>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87"/>
      <c r="AE250" s="87"/>
    </row>
    <row r="251">
      <c r="A251" s="97">
        <f t="shared" si="3"/>
        <v>247</v>
      </c>
      <c r="B251" s="88"/>
      <c r="C251" s="88"/>
      <c r="D251" s="89"/>
      <c r="E251" s="89"/>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87"/>
      <c r="AE251" s="87"/>
    </row>
    <row r="252">
      <c r="A252" s="97">
        <f t="shared" si="3"/>
        <v>248</v>
      </c>
      <c r="B252" s="88"/>
      <c r="C252" s="88"/>
      <c r="D252" s="89"/>
      <c r="E252" s="89"/>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87"/>
      <c r="AE252" s="87"/>
    </row>
    <row r="253">
      <c r="A253" s="97">
        <f t="shared" si="3"/>
        <v>249</v>
      </c>
      <c r="B253" s="88"/>
      <c r="C253" s="88"/>
      <c r="D253" s="89"/>
      <c r="E253" s="89"/>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87"/>
      <c r="AE253" s="87"/>
    </row>
    <row r="254">
      <c r="A254" s="97">
        <f t="shared" si="3"/>
        <v>250</v>
      </c>
      <c r="B254" s="88"/>
      <c r="C254" s="88"/>
      <c r="D254" s="89"/>
      <c r="E254" s="89"/>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87"/>
      <c r="AE254" s="87"/>
    </row>
    <row r="255">
      <c r="A255" s="97">
        <f t="shared" si="3"/>
        <v>251</v>
      </c>
      <c r="B255" s="88"/>
      <c r="C255" s="88"/>
      <c r="D255" s="89"/>
      <c r="E255" s="89"/>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87"/>
      <c r="AE255" s="87"/>
    </row>
    <row r="256">
      <c r="A256" s="97">
        <f t="shared" si="3"/>
        <v>252</v>
      </c>
      <c r="B256" s="88"/>
      <c r="C256" s="88"/>
      <c r="D256" s="89"/>
      <c r="E256" s="89"/>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87"/>
      <c r="AE256" s="87"/>
    </row>
    <row r="257">
      <c r="A257" s="97">
        <f t="shared" si="3"/>
        <v>253</v>
      </c>
      <c r="B257" s="88"/>
      <c r="C257" s="88"/>
      <c r="D257" s="89"/>
      <c r="E257" s="89"/>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87"/>
      <c r="AE257" s="87"/>
    </row>
    <row r="258">
      <c r="A258" s="97">
        <f t="shared" si="3"/>
        <v>254</v>
      </c>
      <c r="B258" s="88"/>
      <c r="C258" s="88"/>
      <c r="D258" s="89"/>
      <c r="E258" s="89"/>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87"/>
      <c r="AE258" s="87"/>
    </row>
    <row r="259">
      <c r="A259" s="97">
        <f t="shared" si="3"/>
        <v>255</v>
      </c>
      <c r="B259" s="88"/>
      <c r="C259" s="88"/>
      <c r="D259" s="89"/>
      <c r="E259" s="89"/>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87"/>
      <c r="AE259" s="87"/>
    </row>
    <row r="260">
      <c r="A260" s="97">
        <f t="shared" si="3"/>
        <v>256</v>
      </c>
      <c r="B260" s="88"/>
      <c r="C260" s="88"/>
      <c r="D260" s="89"/>
      <c r="E260" s="89"/>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87"/>
      <c r="AE260" s="87"/>
    </row>
    <row r="261">
      <c r="A261" s="97">
        <f t="shared" si="3"/>
        <v>257</v>
      </c>
      <c r="B261" s="88"/>
      <c r="C261" s="88"/>
      <c r="D261" s="89"/>
      <c r="E261" s="89"/>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87"/>
      <c r="AE261" s="87"/>
    </row>
    <row r="262">
      <c r="A262" s="97">
        <f t="shared" si="3"/>
        <v>258</v>
      </c>
      <c r="B262" s="88"/>
      <c r="C262" s="88"/>
      <c r="D262" s="89"/>
      <c r="E262" s="89"/>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87"/>
      <c r="AE262" s="87"/>
    </row>
    <row r="263">
      <c r="A263" s="97">
        <f t="shared" si="3"/>
        <v>259</v>
      </c>
      <c r="B263" s="88"/>
      <c r="C263" s="88"/>
      <c r="D263" s="89"/>
      <c r="E263" s="89"/>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87"/>
      <c r="AE263" s="87"/>
    </row>
    <row r="264">
      <c r="A264" s="97">
        <f t="shared" si="3"/>
        <v>260</v>
      </c>
      <c r="B264" s="88"/>
      <c r="C264" s="88"/>
      <c r="D264" s="89"/>
      <c r="E264" s="89"/>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87"/>
      <c r="AE264" s="87"/>
    </row>
    <row r="265">
      <c r="A265" s="97">
        <f t="shared" si="3"/>
        <v>261</v>
      </c>
      <c r="B265" s="88"/>
      <c r="C265" s="88"/>
      <c r="D265" s="89"/>
      <c r="E265" s="89"/>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87"/>
      <c r="AE265" s="87"/>
    </row>
    <row r="266">
      <c r="A266" s="97">
        <f t="shared" si="3"/>
        <v>262</v>
      </c>
      <c r="B266" s="88"/>
      <c r="C266" s="88"/>
      <c r="D266" s="89"/>
      <c r="E266" s="89"/>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87"/>
      <c r="AE266" s="87"/>
    </row>
    <row r="267">
      <c r="A267" s="97">
        <f t="shared" si="3"/>
        <v>263</v>
      </c>
      <c r="B267" s="88"/>
      <c r="C267" s="88"/>
      <c r="D267" s="89"/>
      <c r="E267" s="89"/>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87"/>
      <c r="AE267" s="87"/>
    </row>
    <row r="268">
      <c r="A268" s="97">
        <f t="shared" si="3"/>
        <v>264</v>
      </c>
      <c r="B268" s="88"/>
      <c r="C268" s="88"/>
      <c r="D268" s="89"/>
      <c r="E268" s="89"/>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87"/>
      <c r="AE268" s="87"/>
    </row>
    <row r="269">
      <c r="A269" s="97">
        <f t="shared" si="3"/>
        <v>265</v>
      </c>
      <c r="B269" s="88"/>
      <c r="C269" s="88"/>
      <c r="D269" s="89"/>
      <c r="E269" s="89"/>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87"/>
      <c r="AE269" s="87"/>
    </row>
    <row r="270">
      <c r="A270" s="97">
        <f t="shared" si="3"/>
        <v>266</v>
      </c>
      <c r="B270" s="88"/>
      <c r="C270" s="88"/>
      <c r="D270" s="89"/>
      <c r="E270" s="89"/>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87"/>
      <c r="AE270" s="87"/>
    </row>
    <row r="271">
      <c r="A271" s="97">
        <f t="shared" si="3"/>
        <v>267</v>
      </c>
      <c r="B271" s="88"/>
      <c r="C271" s="88"/>
      <c r="D271" s="89"/>
      <c r="E271" s="89"/>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87"/>
      <c r="AE271" s="87"/>
    </row>
    <row r="272">
      <c r="A272" s="97">
        <f t="shared" si="3"/>
        <v>268</v>
      </c>
      <c r="B272" s="88"/>
      <c r="C272" s="88"/>
      <c r="D272" s="89"/>
      <c r="E272" s="89"/>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87"/>
      <c r="AE272" s="87"/>
    </row>
    <row r="273">
      <c r="A273" s="97">
        <f t="shared" si="3"/>
        <v>269</v>
      </c>
      <c r="B273" s="88"/>
      <c r="C273" s="88"/>
      <c r="D273" s="89"/>
      <c r="E273" s="89"/>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87"/>
      <c r="AE273" s="87"/>
    </row>
    <row r="274">
      <c r="A274" s="97">
        <f t="shared" si="3"/>
        <v>270</v>
      </c>
      <c r="B274" s="88"/>
      <c r="C274" s="88"/>
      <c r="D274" s="89"/>
      <c r="E274" s="89"/>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87"/>
      <c r="AE274" s="87"/>
    </row>
    <row r="275">
      <c r="A275" s="97">
        <f t="shared" si="3"/>
        <v>271</v>
      </c>
      <c r="B275" s="88"/>
      <c r="C275" s="88"/>
      <c r="D275" s="89"/>
      <c r="E275" s="89"/>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87"/>
      <c r="AE275" s="87"/>
    </row>
    <row r="276">
      <c r="A276" s="97">
        <f t="shared" si="3"/>
        <v>272</v>
      </c>
      <c r="B276" s="88"/>
      <c r="C276" s="88"/>
      <c r="D276" s="89"/>
      <c r="E276" s="89"/>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87"/>
      <c r="AE276" s="87"/>
    </row>
    <row r="277">
      <c r="A277" s="97">
        <f t="shared" si="3"/>
        <v>273</v>
      </c>
      <c r="B277" s="88"/>
      <c r="C277" s="88"/>
      <c r="D277" s="89"/>
      <c r="E277" s="89"/>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87"/>
      <c r="AE277" s="87"/>
    </row>
    <row r="278">
      <c r="A278" s="97">
        <f t="shared" si="3"/>
        <v>274</v>
      </c>
      <c r="B278" s="88"/>
      <c r="C278" s="88"/>
      <c r="D278" s="89"/>
      <c r="E278" s="89"/>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87"/>
      <c r="AE278" s="87"/>
    </row>
    <row r="279">
      <c r="A279" s="97">
        <f t="shared" si="3"/>
        <v>275</v>
      </c>
      <c r="B279" s="88"/>
      <c r="C279" s="88"/>
      <c r="D279" s="89"/>
      <c r="E279" s="89"/>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87"/>
      <c r="AE279" s="87"/>
    </row>
    <row r="280">
      <c r="A280" s="97">
        <f t="shared" si="3"/>
        <v>276</v>
      </c>
      <c r="B280" s="88"/>
      <c r="C280" s="88"/>
      <c r="D280" s="89"/>
      <c r="E280" s="89"/>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87"/>
      <c r="AE280" s="87"/>
    </row>
    <row r="281">
      <c r="A281" s="97">
        <f t="shared" si="3"/>
        <v>277</v>
      </c>
      <c r="B281" s="88"/>
      <c r="C281" s="88"/>
      <c r="D281" s="89"/>
      <c r="E281" s="89"/>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87"/>
      <c r="AE281" s="87"/>
    </row>
    <row r="282">
      <c r="A282" s="97">
        <f t="shared" si="3"/>
        <v>278</v>
      </c>
      <c r="B282" s="88"/>
      <c r="C282" s="88"/>
      <c r="D282" s="89"/>
      <c r="E282" s="89"/>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87"/>
      <c r="AE282" s="87"/>
    </row>
    <row r="283">
      <c r="A283" s="97">
        <f t="shared" si="3"/>
        <v>279</v>
      </c>
      <c r="B283" s="88"/>
      <c r="C283" s="88"/>
      <c r="D283" s="89"/>
      <c r="E283" s="89"/>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87"/>
      <c r="AE283" s="87"/>
    </row>
    <row r="284">
      <c r="A284" s="97">
        <f t="shared" si="3"/>
        <v>280</v>
      </c>
      <c r="B284" s="88"/>
      <c r="C284" s="88"/>
      <c r="D284" s="89"/>
      <c r="E284" s="89"/>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87"/>
      <c r="AE284" s="87"/>
    </row>
    <row r="285">
      <c r="A285" s="97">
        <f t="shared" si="3"/>
        <v>281</v>
      </c>
      <c r="B285" s="88"/>
      <c r="C285" s="88"/>
      <c r="D285" s="89"/>
      <c r="E285" s="89"/>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87"/>
      <c r="AE285" s="87"/>
    </row>
    <row r="286">
      <c r="A286" s="97">
        <f t="shared" si="3"/>
        <v>282</v>
      </c>
      <c r="B286" s="88"/>
      <c r="C286" s="88"/>
      <c r="D286" s="89"/>
      <c r="E286" s="89"/>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87"/>
      <c r="AE286" s="87"/>
    </row>
    <row r="287">
      <c r="A287" s="97">
        <f t="shared" si="3"/>
        <v>283</v>
      </c>
      <c r="B287" s="88"/>
      <c r="C287" s="88"/>
      <c r="D287" s="89"/>
      <c r="E287" s="89"/>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87"/>
      <c r="AE287" s="87"/>
    </row>
    <row r="288">
      <c r="A288" s="97">
        <f t="shared" si="3"/>
        <v>284</v>
      </c>
      <c r="B288" s="88"/>
      <c r="C288" s="88"/>
      <c r="D288" s="89"/>
      <c r="E288" s="89"/>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87"/>
      <c r="AE288" s="87"/>
    </row>
    <row r="289">
      <c r="A289" s="97">
        <f t="shared" si="3"/>
        <v>285</v>
      </c>
      <c r="B289" s="88"/>
      <c r="C289" s="88"/>
      <c r="D289" s="89"/>
      <c r="E289" s="89"/>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87"/>
      <c r="AE289" s="87"/>
    </row>
    <row r="290">
      <c r="A290" s="97">
        <f t="shared" si="3"/>
        <v>286</v>
      </c>
      <c r="B290" s="88"/>
      <c r="C290" s="88"/>
      <c r="D290" s="89"/>
      <c r="E290" s="89"/>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87"/>
      <c r="AE290" s="87"/>
    </row>
    <row r="291">
      <c r="A291" s="97">
        <f t="shared" si="3"/>
        <v>287</v>
      </c>
      <c r="B291" s="88"/>
      <c r="C291" s="88"/>
      <c r="D291" s="89"/>
      <c r="E291" s="89"/>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87"/>
      <c r="AE291" s="87"/>
    </row>
    <row r="292">
      <c r="A292" s="97">
        <f t="shared" si="3"/>
        <v>288</v>
      </c>
      <c r="B292" s="88"/>
      <c r="C292" s="88"/>
      <c r="D292" s="89"/>
      <c r="E292" s="89"/>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87"/>
      <c r="AE292" s="87"/>
    </row>
    <row r="293">
      <c r="A293" s="97">
        <f t="shared" si="3"/>
        <v>289</v>
      </c>
      <c r="B293" s="88"/>
      <c r="C293" s="88"/>
      <c r="D293" s="89"/>
      <c r="E293" s="89"/>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87"/>
      <c r="AE293" s="87"/>
    </row>
    <row r="294">
      <c r="A294" s="97">
        <f t="shared" si="3"/>
        <v>290</v>
      </c>
      <c r="B294" s="88"/>
      <c r="C294" s="88"/>
      <c r="D294" s="89"/>
      <c r="E294" s="89"/>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87"/>
      <c r="AE294" s="87"/>
    </row>
    <row r="295">
      <c r="A295" s="97">
        <f t="shared" si="3"/>
        <v>291</v>
      </c>
      <c r="B295" s="88"/>
      <c r="C295" s="88"/>
      <c r="D295" s="89"/>
      <c r="E295" s="89"/>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87"/>
      <c r="AE295" s="87"/>
    </row>
    <row r="296">
      <c r="A296" s="97">
        <f t="shared" si="3"/>
        <v>292</v>
      </c>
      <c r="B296" s="88"/>
      <c r="C296" s="88"/>
      <c r="D296" s="89"/>
      <c r="E296" s="89"/>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87"/>
      <c r="AE296" s="87"/>
    </row>
    <row r="297">
      <c r="A297" s="97">
        <f t="shared" si="3"/>
        <v>293</v>
      </c>
      <c r="B297" s="88"/>
      <c r="C297" s="88"/>
      <c r="D297" s="89"/>
      <c r="E297" s="89"/>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87"/>
      <c r="AE297" s="87"/>
    </row>
    <row r="298">
      <c r="A298" s="97">
        <f t="shared" si="3"/>
        <v>294</v>
      </c>
      <c r="B298" s="88"/>
      <c r="C298" s="88"/>
      <c r="D298" s="89"/>
      <c r="E298" s="89"/>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87"/>
      <c r="AE298" s="87"/>
    </row>
    <row r="299">
      <c r="A299" s="97">
        <f t="shared" si="3"/>
        <v>295</v>
      </c>
      <c r="B299" s="88"/>
      <c r="C299" s="88"/>
      <c r="D299" s="89"/>
      <c r="E299" s="89"/>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87"/>
      <c r="AE299" s="87"/>
    </row>
    <row r="300">
      <c r="A300" s="97">
        <f t="shared" si="3"/>
        <v>296</v>
      </c>
      <c r="B300" s="88"/>
      <c r="C300" s="88"/>
      <c r="D300" s="89"/>
      <c r="E300" s="89"/>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87"/>
      <c r="AE300" s="87"/>
    </row>
    <row r="301">
      <c r="A301" s="97">
        <f t="shared" si="3"/>
        <v>297</v>
      </c>
      <c r="B301" s="88"/>
      <c r="C301" s="88"/>
      <c r="D301" s="89"/>
      <c r="E301" s="89"/>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87"/>
      <c r="AE301" s="87"/>
    </row>
    <row r="302">
      <c r="A302" s="97">
        <f t="shared" si="3"/>
        <v>298</v>
      </c>
      <c r="B302" s="88"/>
      <c r="C302" s="88"/>
      <c r="D302" s="89"/>
      <c r="E302" s="89"/>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87"/>
      <c r="AE302" s="87"/>
    </row>
    <row r="303">
      <c r="A303" s="97">
        <f t="shared" si="3"/>
        <v>299</v>
      </c>
      <c r="B303" s="88"/>
      <c r="C303" s="88"/>
      <c r="D303" s="89"/>
      <c r="E303" s="89"/>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87"/>
      <c r="AE303" s="87"/>
    </row>
    <row r="304">
      <c r="A304" s="97">
        <f t="shared" si="3"/>
        <v>300</v>
      </c>
      <c r="B304" s="88"/>
      <c r="C304" s="88"/>
      <c r="D304" s="89"/>
      <c r="E304" s="89"/>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87"/>
      <c r="AE304" s="87"/>
    </row>
    <row r="305">
      <c r="B305" s="88"/>
      <c r="C305" s="88"/>
      <c r="D305" s="89"/>
      <c r="E305" s="89"/>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87"/>
      <c r="AE305" s="87"/>
    </row>
    <row r="306">
      <c r="B306" s="88"/>
      <c r="C306" s="88"/>
      <c r="D306" s="89"/>
      <c r="E306" s="89"/>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87"/>
      <c r="AE306" s="87"/>
    </row>
    <row r="307">
      <c r="B307" s="88"/>
      <c r="C307" s="88"/>
      <c r="D307" s="89"/>
      <c r="E307" s="89"/>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87"/>
      <c r="AE307" s="87"/>
    </row>
    <row r="308">
      <c r="B308" s="88"/>
      <c r="C308" s="88"/>
      <c r="D308" s="89"/>
      <c r="E308" s="89"/>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87"/>
      <c r="AE308" s="87"/>
    </row>
    <row r="309">
      <c r="B309" s="88"/>
      <c r="C309" s="88"/>
      <c r="D309" s="89"/>
      <c r="E309" s="89"/>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87"/>
      <c r="AE309" s="87"/>
    </row>
    <row r="310">
      <c r="B310" s="88"/>
      <c r="C310" s="88"/>
      <c r="D310" s="89"/>
      <c r="E310" s="89"/>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87"/>
      <c r="AE310" s="87"/>
    </row>
    <row r="311">
      <c r="B311" s="88"/>
      <c r="C311" s="88"/>
      <c r="D311" s="89"/>
      <c r="E311" s="89"/>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87"/>
      <c r="AE311" s="87"/>
    </row>
    <row r="312">
      <c r="B312" s="88"/>
      <c r="C312" s="88"/>
      <c r="D312" s="89"/>
      <c r="E312" s="89"/>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87"/>
      <c r="AE312" s="87"/>
    </row>
    <row r="313">
      <c r="B313" s="88"/>
      <c r="C313" s="88"/>
      <c r="D313" s="89"/>
      <c r="E313" s="89"/>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87"/>
      <c r="AE313" s="87"/>
    </row>
    <row r="314">
      <c r="B314" s="88"/>
      <c r="C314" s="88"/>
      <c r="D314" s="89"/>
      <c r="E314" s="89"/>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87"/>
      <c r="AE314" s="87"/>
    </row>
    <row r="315">
      <c r="B315" s="88"/>
      <c r="C315" s="88"/>
      <c r="D315" s="89"/>
      <c r="E315" s="89"/>
      <c r="AD315" s="87"/>
      <c r="AE315" s="87"/>
    </row>
    <row r="316">
      <c r="B316" s="88"/>
      <c r="C316" s="88"/>
      <c r="D316" s="89"/>
      <c r="E316" s="89"/>
      <c r="AD316" s="87"/>
      <c r="AE316" s="87"/>
    </row>
    <row r="317">
      <c r="B317" s="88"/>
      <c r="C317" s="88"/>
      <c r="D317" s="89"/>
      <c r="E317" s="89"/>
      <c r="AD317" s="87"/>
      <c r="AE317" s="87"/>
    </row>
    <row r="318">
      <c r="B318" s="88"/>
      <c r="C318" s="88"/>
      <c r="D318" s="89"/>
      <c r="E318" s="89"/>
      <c r="AD318" s="87"/>
      <c r="AE318" s="87"/>
    </row>
    <row r="319">
      <c r="B319" s="88"/>
      <c r="C319" s="88"/>
      <c r="D319" s="89"/>
      <c r="E319" s="89"/>
      <c r="AD319" s="87"/>
      <c r="AE319" s="87"/>
    </row>
    <row r="320">
      <c r="B320" s="88"/>
      <c r="C320" s="88"/>
      <c r="D320" s="89"/>
      <c r="E320" s="89"/>
      <c r="AD320" s="87"/>
      <c r="AE320" s="87"/>
    </row>
    <row r="321">
      <c r="B321" s="88"/>
      <c r="C321" s="88"/>
      <c r="D321" s="89"/>
      <c r="E321" s="89"/>
      <c r="AD321" s="87"/>
      <c r="AE321" s="87"/>
    </row>
    <row r="322">
      <c r="B322" s="88"/>
      <c r="C322" s="88"/>
      <c r="D322" s="89"/>
      <c r="E322" s="89"/>
      <c r="AD322" s="87"/>
      <c r="AE322" s="87"/>
    </row>
    <row r="323">
      <c r="B323" s="88"/>
      <c r="C323" s="88"/>
      <c r="D323" s="89"/>
      <c r="E323" s="89"/>
      <c r="AD323" s="87"/>
      <c r="AE323" s="87"/>
    </row>
    <row r="324">
      <c r="B324" s="88"/>
      <c r="C324" s="88"/>
      <c r="D324" s="89"/>
      <c r="E324" s="89"/>
      <c r="AD324" s="87"/>
      <c r="AE324" s="87"/>
    </row>
    <row r="325">
      <c r="B325" s="88"/>
      <c r="C325" s="88"/>
      <c r="D325" s="89"/>
      <c r="E325" s="89"/>
      <c r="AD325" s="87"/>
      <c r="AE325" s="87"/>
    </row>
    <row r="326">
      <c r="B326" s="88"/>
      <c r="C326" s="88"/>
      <c r="D326" s="89"/>
      <c r="E326" s="89"/>
      <c r="AD326" s="87"/>
      <c r="AE326" s="87"/>
    </row>
    <row r="327">
      <c r="B327" s="88"/>
      <c r="C327" s="88"/>
      <c r="D327" s="89"/>
      <c r="E327" s="89"/>
      <c r="AD327" s="87"/>
      <c r="AE327" s="87"/>
    </row>
    <row r="328">
      <c r="B328" s="88"/>
      <c r="C328" s="88"/>
      <c r="D328" s="89"/>
      <c r="E328" s="89"/>
      <c r="AD328" s="87"/>
      <c r="AE328" s="87"/>
    </row>
    <row r="329">
      <c r="B329" s="88"/>
      <c r="C329" s="88"/>
      <c r="D329" s="89"/>
      <c r="E329" s="89"/>
      <c r="AD329" s="87"/>
      <c r="AE329" s="87"/>
    </row>
    <row r="330">
      <c r="B330" s="88"/>
      <c r="C330" s="88"/>
      <c r="D330" s="89"/>
      <c r="E330" s="89"/>
      <c r="AD330" s="87"/>
      <c r="AE330" s="87"/>
    </row>
    <row r="331">
      <c r="B331" s="88"/>
      <c r="C331" s="88"/>
      <c r="D331" s="89"/>
      <c r="E331" s="89"/>
      <c r="AD331" s="87"/>
      <c r="AE331" s="87"/>
    </row>
    <row r="332">
      <c r="B332" s="88"/>
      <c r="C332" s="88"/>
      <c r="D332" s="89"/>
      <c r="E332" s="89"/>
      <c r="AD332" s="87"/>
      <c r="AE332" s="87"/>
    </row>
    <row r="333">
      <c r="B333" s="88"/>
      <c r="C333" s="88"/>
      <c r="D333" s="89"/>
      <c r="E333" s="89"/>
      <c r="AD333" s="87"/>
      <c r="AE333" s="87"/>
    </row>
    <row r="334">
      <c r="B334" s="88"/>
      <c r="C334" s="88"/>
      <c r="D334" s="89"/>
      <c r="E334" s="89"/>
      <c r="AD334" s="87"/>
      <c r="AE334" s="87"/>
    </row>
    <row r="335">
      <c r="B335" s="88"/>
      <c r="C335" s="88"/>
      <c r="D335" s="89"/>
      <c r="E335" s="89"/>
      <c r="AD335" s="87"/>
      <c r="AE335" s="87"/>
    </row>
    <row r="336">
      <c r="B336" s="88"/>
      <c r="C336" s="88"/>
      <c r="D336" s="89"/>
      <c r="E336" s="89"/>
      <c r="AD336" s="87"/>
      <c r="AE336" s="87"/>
    </row>
    <row r="337">
      <c r="B337" s="88"/>
      <c r="C337" s="88"/>
      <c r="D337" s="89"/>
      <c r="E337" s="89"/>
      <c r="AD337" s="87"/>
      <c r="AE337" s="87"/>
    </row>
    <row r="338">
      <c r="B338" s="88"/>
      <c r="C338" s="88"/>
      <c r="D338" s="89"/>
      <c r="E338" s="89"/>
      <c r="AD338" s="87"/>
      <c r="AE338" s="87"/>
    </row>
    <row r="339">
      <c r="B339" s="88"/>
      <c r="C339" s="88"/>
      <c r="D339" s="89"/>
      <c r="E339" s="89"/>
      <c r="AD339" s="87"/>
      <c r="AE339" s="87"/>
    </row>
    <row r="340">
      <c r="B340" s="88"/>
      <c r="C340" s="88"/>
      <c r="D340" s="89"/>
      <c r="E340" s="89"/>
      <c r="AD340" s="87"/>
      <c r="AE340" s="87"/>
    </row>
    <row r="341">
      <c r="B341" s="88"/>
      <c r="C341" s="88"/>
      <c r="D341" s="89"/>
      <c r="E341" s="89"/>
      <c r="AD341" s="87"/>
      <c r="AE341" s="87"/>
    </row>
    <row r="342">
      <c r="B342" s="88"/>
      <c r="C342" s="88"/>
      <c r="D342" s="89"/>
      <c r="E342" s="89"/>
      <c r="AD342" s="87"/>
      <c r="AE342" s="87"/>
    </row>
    <row r="343">
      <c r="B343" s="88"/>
      <c r="C343" s="88"/>
      <c r="D343" s="89"/>
      <c r="E343" s="89"/>
      <c r="AD343" s="87"/>
      <c r="AE343" s="87"/>
    </row>
    <row r="344">
      <c r="B344" s="88"/>
      <c r="C344" s="88"/>
      <c r="D344" s="89"/>
      <c r="E344" s="89"/>
      <c r="AD344" s="87"/>
      <c r="AE344" s="87"/>
    </row>
    <row r="345">
      <c r="B345" s="88"/>
      <c r="C345" s="88"/>
      <c r="D345" s="89"/>
      <c r="E345" s="89"/>
      <c r="AD345" s="87"/>
      <c r="AE345" s="87"/>
    </row>
    <row r="346">
      <c r="B346" s="88"/>
      <c r="C346" s="88"/>
      <c r="D346" s="89"/>
      <c r="E346" s="89"/>
      <c r="AD346" s="87"/>
      <c r="AE346" s="87"/>
    </row>
    <row r="347">
      <c r="B347" s="88"/>
      <c r="C347" s="88"/>
      <c r="D347" s="89"/>
      <c r="E347" s="89"/>
      <c r="AD347" s="87"/>
      <c r="AE347" s="87"/>
    </row>
    <row r="348">
      <c r="B348" s="88"/>
      <c r="C348" s="88"/>
      <c r="D348" s="89"/>
      <c r="E348" s="89"/>
      <c r="AD348" s="87"/>
      <c r="AE348" s="87"/>
    </row>
    <row r="349">
      <c r="B349" s="88"/>
      <c r="C349" s="88"/>
      <c r="D349" s="89"/>
      <c r="E349" s="89"/>
      <c r="AD349" s="87"/>
      <c r="AE349" s="87"/>
    </row>
    <row r="350">
      <c r="B350" s="88"/>
      <c r="C350" s="88"/>
      <c r="D350" s="89"/>
      <c r="E350" s="89"/>
      <c r="AD350" s="87"/>
      <c r="AE350" s="87"/>
    </row>
    <row r="351">
      <c r="B351" s="88"/>
      <c r="C351" s="88"/>
      <c r="D351" s="89"/>
      <c r="E351" s="89"/>
      <c r="AD351" s="87"/>
      <c r="AE351" s="87"/>
    </row>
    <row r="352">
      <c r="B352" s="88"/>
      <c r="C352" s="88"/>
      <c r="D352" s="89"/>
      <c r="E352" s="89"/>
      <c r="AD352" s="87"/>
      <c r="AE352" s="87"/>
    </row>
    <row r="353">
      <c r="B353" s="88"/>
      <c r="C353" s="88"/>
      <c r="D353" s="89"/>
      <c r="E353" s="89"/>
      <c r="AD353" s="87"/>
      <c r="AE353" s="87"/>
    </row>
    <row r="354">
      <c r="B354" s="88"/>
      <c r="C354" s="88"/>
      <c r="D354" s="89"/>
      <c r="E354" s="89"/>
      <c r="AD354" s="87"/>
      <c r="AE354" s="87"/>
    </row>
    <row r="355">
      <c r="B355" s="88"/>
      <c r="C355" s="88"/>
      <c r="D355" s="89"/>
      <c r="E355" s="89"/>
      <c r="AD355" s="87"/>
      <c r="AE355" s="87"/>
    </row>
    <row r="356">
      <c r="B356" s="88"/>
      <c r="C356" s="88"/>
      <c r="D356" s="89"/>
      <c r="E356" s="89"/>
      <c r="AD356" s="87"/>
      <c r="AE356" s="87"/>
    </row>
    <row r="357">
      <c r="B357" s="88"/>
      <c r="C357" s="88"/>
      <c r="D357" s="89"/>
      <c r="E357" s="89"/>
      <c r="AD357" s="87"/>
      <c r="AE357" s="87"/>
    </row>
    <row r="358">
      <c r="B358" s="88"/>
      <c r="C358" s="88"/>
      <c r="D358" s="89"/>
      <c r="E358" s="89"/>
      <c r="AD358" s="87"/>
      <c r="AE358" s="87"/>
    </row>
    <row r="359">
      <c r="B359" s="88"/>
      <c r="C359" s="88"/>
      <c r="D359" s="89"/>
      <c r="E359" s="89"/>
      <c r="AD359" s="87"/>
      <c r="AE359" s="87"/>
    </row>
    <row r="360">
      <c r="B360" s="88"/>
      <c r="C360" s="88"/>
      <c r="D360" s="89"/>
      <c r="E360" s="89"/>
      <c r="AD360" s="87"/>
      <c r="AE360" s="87"/>
    </row>
    <row r="361">
      <c r="B361" s="88"/>
      <c r="C361" s="88"/>
      <c r="D361" s="89"/>
      <c r="E361" s="89"/>
      <c r="AD361" s="87"/>
      <c r="AE361" s="87"/>
    </row>
    <row r="362">
      <c r="B362" s="88"/>
      <c r="C362" s="88"/>
      <c r="D362" s="89"/>
      <c r="E362" s="89"/>
      <c r="AD362" s="87"/>
      <c r="AE362" s="87"/>
    </row>
    <row r="363">
      <c r="B363" s="88"/>
      <c r="C363" s="88"/>
      <c r="D363" s="89"/>
      <c r="E363" s="89"/>
      <c r="AD363" s="87"/>
      <c r="AE363" s="87"/>
    </row>
    <row r="364">
      <c r="B364" s="88"/>
      <c r="C364" s="88"/>
      <c r="D364" s="89"/>
      <c r="E364" s="89"/>
      <c r="AD364" s="87"/>
      <c r="AE364" s="87"/>
    </row>
    <row r="365">
      <c r="B365" s="88"/>
      <c r="C365" s="88"/>
      <c r="D365" s="89"/>
      <c r="E365" s="89"/>
      <c r="AD365" s="87"/>
      <c r="AE365" s="87"/>
    </row>
    <row r="366">
      <c r="B366" s="88"/>
      <c r="C366" s="88"/>
      <c r="D366" s="89"/>
      <c r="E366" s="89"/>
      <c r="AD366" s="87"/>
      <c r="AE366" s="87"/>
    </row>
    <row r="367">
      <c r="B367" s="88"/>
      <c r="C367" s="88"/>
      <c r="D367" s="89"/>
      <c r="E367" s="89"/>
      <c r="AD367" s="87"/>
      <c r="AE367" s="87"/>
    </row>
    <row r="368">
      <c r="B368" s="88"/>
      <c r="C368" s="88"/>
      <c r="D368" s="89"/>
      <c r="E368" s="89"/>
      <c r="AD368" s="87"/>
      <c r="AE368" s="87"/>
    </row>
    <row r="369">
      <c r="B369" s="88"/>
      <c r="C369" s="88"/>
      <c r="D369" s="89"/>
      <c r="E369" s="89"/>
      <c r="AD369" s="87"/>
      <c r="AE369" s="87"/>
    </row>
    <row r="370">
      <c r="B370" s="88"/>
      <c r="C370" s="88"/>
      <c r="D370" s="89"/>
      <c r="E370" s="89"/>
      <c r="AD370" s="87"/>
      <c r="AE370" s="87"/>
    </row>
    <row r="371">
      <c r="B371" s="88"/>
      <c r="C371" s="88"/>
      <c r="D371" s="89"/>
      <c r="E371" s="89"/>
      <c r="AD371" s="87"/>
      <c r="AE371" s="87"/>
    </row>
    <row r="372">
      <c r="B372" s="88"/>
      <c r="C372" s="88"/>
      <c r="D372" s="89"/>
      <c r="E372" s="89"/>
      <c r="AD372" s="87"/>
      <c r="AE372" s="87"/>
    </row>
    <row r="373">
      <c r="B373" s="88"/>
      <c r="C373" s="88"/>
      <c r="D373" s="89"/>
      <c r="E373" s="89"/>
      <c r="AD373" s="87"/>
      <c r="AE373" s="87"/>
    </row>
    <row r="374">
      <c r="B374" s="88"/>
      <c r="C374" s="88"/>
      <c r="D374" s="89"/>
      <c r="E374" s="89"/>
      <c r="AD374" s="87"/>
      <c r="AE374" s="87"/>
    </row>
    <row r="375">
      <c r="B375" s="88"/>
      <c r="C375" s="88"/>
      <c r="D375" s="89"/>
      <c r="E375" s="89"/>
      <c r="AD375" s="87"/>
      <c r="AE375" s="87"/>
    </row>
    <row r="376">
      <c r="B376" s="88"/>
      <c r="C376" s="88"/>
      <c r="D376" s="89"/>
      <c r="E376" s="89"/>
      <c r="AD376" s="87"/>
      <c r="AE376" s="87"/>
    </row>
    <row r="377">
      <c r="B377" s="88"/>
      <c r="C377" s="88"/>
      <c r="D377" s="89"/>
      <c r="E377" s="89"/>
      <c r="AD377" s="87"/>
      <c r="AE377" s="87"/>
    </row>
    <row r="378">
      <c r="B378" s="88"/>
      <c r="C378" s="88"/>
      <c r="D378" s="89"/>
      <c r="E378" s="89"/>
      <c r="AD378" s="87"/>
      <c r="AE378" s="87"/>
    </row>
    <row r="379">
      <c r="B379" s="88"/>
      <c r="C379" s="88"/>
      <c r="D379" s="89"/>
      <c r="E379" s="89"/>
      <c r="AD379" s="87"/>
      <c r="AE379" s="87"/>
    </row>
    <row r="380">
      <c r="B380" s="88"/>
      <c r="C380" s="88"/>
      <c r="D380" s="89"/>
      <c r="E380" s="89"/>
      <c r="AD380" s="87"/>
      <c r="AE380" s="87"/>
    </row>
    <row r="381">
      <c r="B381" s="88"/>
      <c r="C381" s="88"/>
      <c r="D381" s="89"/>
      <c r="E381" s="89"/>
      <c r="AD381" s="87"/>
      <c r="AE381" s="87"/>
    </row>
    <row r="382">
      <c r="B382" s="88"/>
      <c r="C382" s="88"/>
      <c r="D382" s="89"/>
      <c r="E382" s="89"/>
      <c r="AD382" s="87"/>
      <c r="AE382" s="87"/>
    </row>
    <row r="383">
      <c r="B383" s="88"/>
      <c r="C383" s="88"/>
      <c r="D383" s="89"/>
      <c r="E383" s="89"/>
      <c r="AD383" s="87"/>
      <c r="AE383" s="87"/>
    </row>
    <row r="384">
      <c r="B384" s="88"/>
      <c r="C384" s="88"/>
      <c r="D384" s="89"/>
      <c r="E384" s="89"/>
      <c r="AD384" s="87"/>
      <c r="AE384" s="87"/>
    </row>
    <row r="385">
      <c r="B385" s="88"/>
      <c r="C385" s="88"/>
      <c r="D385" s="89"/>
      <c r="E385" s="89"/>
      <c r="AD385" s="87"/>
      <c r="AE385" s="87"/>
    </row>
    <row r="386">
      <c r="B386" s="88"/>
      <c r="C386" s="88"/>
      <c r="D386" s="89"/>
      <c r="E386" s="89"/>
      <c r="AD386" s="87"/>
      <c r="AE386" s="87"/>
    </row>
    <row r="387">
      <c r="B387" s="88"/>
      <c r="C387" s="88"/>
      <c r="D387" s="89"/>
      <c r="E387" s="89"/>
      <c r="AD387" s="87"/>
      <c r="AE387" s="87"/>
    </row>
    <row r="388">
      <c r="B388" s="88"/>
      <c r="C388" s="88"/>
      <c r="D388" s="89"/>
      <c r="E388" s="89"/>
      <c r="AD388" s="87"/>
      <c r="AE388" s="87"/>
    </row>
    <row r="389">
      <c r="B389" s="88"/>
      <c r="C389" s="88"/>
      <c r="D389" s="89"/>
      <c r="E389" s="89"/>
      <c r="AD389" s="87"/>
      <c r="AE389" s="87"/>
    </row>
    <row r="390">
      <c r="B390" s="88"/>
      <c r="C390" s="88"/>
      <c r="D390" s="89"/>
      <c r="E390" s="89"/>
      <c r="AD390" s="87"/>
      <c r="AE390" s="87"/>
    </row>
    <row r="391">
      <c r="B391" s="88"/>
      <c r="C391" s="88"/>
      <c r="D391" s="89"/>
      <c r="E391" s="89"/>
      <c r="AD391" s="87"/>
      <c r="AE391" s="87"/>
    </row>
    <row r="392">
      <c r="B392" s="88"/>
      <c r="C392" s="88"/>
      <c r="D392" s="89"/>
      <c r="E392" s="89"/>
      <c r="AD392" s="87"/>
      <c r="AE392" s="87"/>
    </row>
    <row r="393">
      <c r="B393" s="88"/>
      <c r="C393" s="88"/>
      <c r="D393" s="89"/>
      <c r="E393" s="89"/>
      <c r="AD393" s="87"/>
      <c r="AE393" s="87"/>
    </row>
    <row r="394">
      <c r="B394" s="88"/>
      <c r="C394" s="88"/>
      <c r="D394" s="89"/>
      <c r="E394" s="89"/>
      <c r="AD394" s="87"/>
      <c r="AE394" s="87"/>
    </row>
    <row r="395">
      <c r="B395" s="88"/>
      <c r="C395" s="88"/>
      <c r="D395" s="89"/>
      <c r="E395" s="89"/>
      <c r="AD395" s="87"/>
      <c r="AE395" s="87"/>
    </row>
    <row r="396">
      <c r="B396" s="88"/>
      <c r="C396" s="88"/>
      <c r="D396" s="89"/>
      <c r="E396" s="89"/>
      <c r="AD396" s="87"/>
      <c r="AE396" s="87"/>
    </row>
    <row r="397">
      <c r="B397" s="88"/>
      <c r="C397" s="88"/>
      <c r="D397" s="89"/>
      <c r="E397" s="89"/>
      <c r="AD397" s="87"/>
      <c r="AE397" s="87"/>
    </row>
    <row r="398">
      <c r="B398" s="88"/>
      <c r="C398" s="88"/>
      <c r="D398" s="89"/>
      <c r="E398" s="89"/>
      <c r="AD398" s="87"/>
      <c r="AE398" s="87"/>
    </row>
    <row r="399">
      <c r="B399" s="88"/>
      <c r="C399" s="88"/>
      <c r="D399" s="89"/>
      <c r="E399" s="89"/>
      <c r="AD399" s="87"/>
      <c r="AE399" s="87"/>
    </row>
    <row r="400">
      <c r="B400" s="88"/>
      <c r="C400" s="88"/>
      <c r="D400" s="89"/>
      <c r="E400" s="89"/>
      <c r="AD400" s="87"/>
      <c r="AE400" s="87"/>
    </row>
    <row r="401">
      <c r="B401" s="88"/>
      <c r="C401" s="88"/>
      <c r="D401" s="89"/>
      <c r="E401" s="89"/>
      <c r="AD401" s="87"/>
      <c r="AE401" s="87"/>
    </row>
    <row r="402">
      <c r="B402" s="88"/>
      <c r="C402" s="88"/>
      <c r="D402" s="89"/>
      <c r="E402" s="89"/>
      <c r="AD402" s="87"/>
      <c r="AE402" s="87"/>
    </row>
    <row r="403">
      <c r="B403" s="88"/>
      <c r="C403" s="88"/>
      <c r="D403" s="89"/>
      <c r="E403" s="89"/>
      <c r="AD403" s="87"/>
      <c r="AE403" s="87"/>
    </row>
    <row r="404">
      <c r="B404" s="88"/>
      <c r="C404" s="88"/>
      <c r="D404" s="89"/>
      <c r="E404" s="89"/>
      <c r="AD404" s="87"/>
      <c r="AE404" s="87"/>
    </row>
    <row r="405">
      <c r="B405" s="88"/>
      <c r="C405" s="88"/>
      <c r="D405" s="89"/>
      <c r="E405" s="89"/>
      <c r="AD405" s="87"/>
      <c r="AE405" s="87"/>
    </row>
    <row r="406">
      <c r="B406" s="88"/>
      <c r="C406" s="88"/>
      <c r="D406" s="89"/>
      <c r="E406" s="89"/>
      <c r="AD406" s="87"/>
      <c r="AE406" s="87"/>
    </row>
    <row r="407">
      <c r="B407" s="88"/>
      <c r="C407" s="88"/>
      <c r="D407" s="89"/>
      <c r="E407" s="89"/>
      <c r="AD407" s="87"/>
      <c r="AE407" s="87"/>
    </row>
    <row r="408">
      <c r="B408" s="88"/>
      <c r="C408" s="88"/>
      <c r="D408" s="89"/>
      <c r="E408" s="89"/>
      <c r="AD408" s="87"/>
      <c r="AE408" s="87"/>
    </row>
    <row r="409">
      <c r="B409" s="88"/>
      <c r="C409" s="88"/>
      <c r="D409" s="89"/>
      <c r="E409" s="89"/>
      <c r="AD409" s="87"/>
      <c r="AE409" s="87"/>
    </row>
    <row r="410">
      <c r="B410" s="88"/>
      <c r="C410" s="88"/>
      <c r="D410" s="89"/>
      <c r="E410" s="89"/>
      <c r="AD410" s="87"/>
      <c r="AE410" s="87"/>
    </row>
    <row r="411">
      <c r="B411" s="88"/>
      <c r="C411" s="88"/>
      <c r="D411" s="89"/>
      <c r="E411" s="89"/>
      <c r="AD411" s="87"/>
      <c r="AE411" s="87"/>
    </row>
    <row r="412">
      <c r="B412" s="88"/>
      <c r="C412" s="88"/>
      <c r="D412" s="89"/>
      <c r="E412" s="89"/>
      <c r="AD412" s="87"/>
      <c r="AE412" s="87"/>
    </row>
    <row r="413">
      <c r="B413" s="88"/>
      <c r="C413" s="88"/>
      <c r="D413" s="89"/>
      <c r="E413" s="89"/>
      <c r="AD413" s="87"/>
      <c r="AE413" s="87"/>
    </row>
    <row r="414">
      <c r="B414" s="88"/>
      <c r="C414" s="88"/>
      <c r="D414" s="89"/>
      <c r="E414" s="89"/>
      <c r="AD414" s="87"/>
      <c r="AE414" s="87"/>
    </row>
    <row r="415">
      <c r="B415" s="88"/>
      <c r="C415" s="88"/>
      <c r="D415" s="89"/>
      <c r="E415" s="89"/>
      <c r="AD415" s="87"/>
      <c r="AE415" s="87"/>
    </row>
    <row r="416">
      <c r="B416" s="88"/>
      <c r="C416" s="88"/>
      <c r="D416" s="89"/>
      <c r="E416" s="89"/>
      <c r="AD416" s="87"/>
      <c r="AE416" s="87"/>
    </row>
    <row r="417">
      <c r="B417" s="88"/>
      <c r="C417" s="88"/>
      <c r="D417" s="89"/>
      <c r="E417" s="89"/>
      <c r="AD417" s="87"/>
      <c r="AE417" s="87"/>
    </row>
    <row r="418">
      <c r="B418" s="88"/>
      <c r="C418" s="88"/>
      <c r="D418" s="89"/>
      <c r="E418" s="89"/>
      <c r="AD418" s="87"/>
      <c r="AE418" s="87"/>
    </row>
    <row r="419">
      <c r="B419" s="88"/>
      <c r="C419" s="88"/>
      <c r="D419" s="89"/>
      <c r="E419" s="89"/>
      <c r="AD419" s="87"/>
      <c r="AE419" s="87"/>
    </row>
    <row r="420">
      <c r="B420" s="88"/>
      <c r="C420" s="88"/>
      <c r="D420" s="89"/>
      <c r="E420" s="89"/>
      <c r="AD420" s="87"/>
      <c r="AE420" s="87"/>
    </row>
    <row r="421">
      <c r="B421" s="88"/>
      <c r="C421" s="88"/>
      <c r="D421" s="89"/>
      <c r="E421" s="89"/>
      <c r="AD421" s="87"/>
      <c r="AE421" s="87"/>
    </row>
    <row r="422">
      <c r="B422" s="88"/>
      <c r="C422" s="88"/>
      <c r="D422" s="89"/>
      <c r="E422" s="89"/>
      <c r="AD422" s="87"/>
      <c r="AE422" s="87"/>
    </row>
    <row r="423">
      <c r="B423" s="88"/>
      <c r="C423" s="88"/>
      <c r="D423" s="89"/>
      <c r="E423" s="89"/>
      <c r="AD423" s="87"/>
      <c r="AE423" s="87"/>
    </row>
    <row r="424">
      <c r="B424" s="88"/>
      <c r="C424" s="88"/>
      <c r="D424" s="89"/>
      <c r="E424" s="89"/>
      <c r="AD424" s="87"/>
      <c r="AE424" s="87"/>
    </row>
    <row r="425">
      <c r="B425" s="88"/>
      <c r="C425" s="88"/>
      <c r="D425" s="89"/>
      <c r="E425" s="89"/>
      <c r="AD425" s="87"/>
      <c r="AE425" s="87"/>
    </row>
    <row r="426">
      <c r="B426" s="88"/>
      <c r="C426" s="88"/>
      <c r="D426" s="89"/>
      <c r="E426" s="89"/>
      <c r="AD426" s="87"/>
      <c r="AE426" s="87"/>
    </row>
    <row r="427">
      <c r="B427" s="88"/>
      <c r="C427" s="88"/>
      <c r="D427" s="89"/>
      <c r="E427" s="89"/>
      <c r="AD427" s="87"/>
      <c r="AE427" s="87"/>
    </row>
    <row r="428">
      <c r="B428" s="88"/>
      <c r="C428" s="88"/>
      <c r="D428" s="89"/>
      <c r="E428" s="89"/>
      <c r="AD428" s="87"/>
      <c r="AE428" s="87"/>
    </row>
    <row r="429">
      <c r="B429" s="88"/>
      <c r="C429" s="88"/>
      <c r="D429" s="89"/>
      <c r="E429" s="89"/>
      <c r="AD429" s="87"/>
      <c r="AE429" s="87"/>
    </row>
    <row r="430">
      <c r="B430" s="88"/>
      <c r="C430" s="88"/>
      <c r="D430" s="89"/>
      <c r="E430" s="89"/>
      <c r="AD430" s="87"/>
      <c r="AE430" s="87"/>
    </row>
    <row r="431">
      <c r="B431" s="88"/>
      <c r="C431" s="88"/>
      <c r="D431" s="89"/>
      <c r="E431" s="89"/>
      <c r="AD431" s="87"/>
      <c r="AE431" s="87"/>
    </row>
    <row r="432">
      <c r="B432" s="88"/>
      <c r="C432" s="88"/>
      <c r="D432" s="89"/>
      <c r="E432" s="89"/>
      <c r="AD432" s="87"/>
      <c r="AE432" s="87"/>
    </row>
    <row r="433">
      <c r="B433" s="88"/>
      <c r="C433" s="88"/>
      <c r="D433" s="89"/>
      <c r="E433" s="89"/>
      <c r="AD433" s="87"/>
      <c r="AE433" s="87"/>
    </row>
    <row r="434">
      <c r="B434" s="88"/>
      <c r="C434" s="88"/>
      <c r="D434" s="89"/>
      <c r="E434" s="89"/>
      <c r="AD434" s="87"/>
      <c r="AE434" s="87"/>
    </row>
    <row r="435">
      <c r="B435" s="88"/>
      <c r="C435" s="88"/>
      <c r="D435" s="89"/>
      <c r="E435" s="89"/>
      <c r="AD435" s="87"/>
      <c r="AE435" s="87"/>
    </row>
    <row r="436">
      <c r="B436" s="88"/>
      <c r="C436" s="88"/>
      <c r="D436" s="89"/>
      <c r="E436" s="89"/>
      <c r="AD436" s="87"/>
      <c r="AE436" s="87"/>
    </row>
    <row r="437">
      <c r="B437" s="88"/>
      <c r="C437" s="88"/>
      <c r="D437" s="89"/>
      <c r="E437" s="89"/>
      <c r="AD437" s="87"/>
      <c r="AE437" s="87"/>
    </row>
    <row r="438">
      <c r="B438" s="88"/>
      <c r="C438" s="88"/>
      <c r="D438" s="89"/>
      <c r="E438" s="89"/>
      <c r="AD438" s="87"/>
      <c r="AE438" s="87"/>
    </row>
    <row r="439">
      <c r="B439" s="88"/>
      <c r="C439" s="88"/>
      <c r="D439" s="89"/>
      <c r="E439" s="89"/>
      <c r="AD439" s="87"/>
      <c r="AE439" s="87"/>
    </row>
    <row r="440">
      <c r="B440" s="88"/>
      <c r="C440" s="88"/>
      <c r="D440" s="89"/>
      <c r="E440" s="89"/>
      <c r="AD440" s="87"/>
      <c r="AE440" s="87"/>
    </row>
    <row r="441">
      <c r="B441" s="88"/>
      <c r="C441" s="88"/>
      <c r="D441" s="89"/>
      <c r="E441" s="89"/>
      <c r="AD441" s="87"/>
      <c r="AE441" s="87"/>
    </row>
    <row r="442">
      <c r="B442" s="88"/>
      <c r="C442" s="88"/>
      <c r="D442" s="89"/>
      <c r="E442" s="89"/>
      <c r="AD442" s="87"/>
      <c r="AE442" s="87"/>
    </row>
    <row r="443">
      <c r="B443" s="88"/>
      <c r="C443" s="88"/>
      <c r="D443" s="89"/>
      <c r="E443" s="89"/>
      <c r="AD443" s="87"/>
      <c r="AE443" s="87"/>
    </row>
    <row r="444">
      <c r="B444" s="88"/>
      <c r="C444" s="88"/>
      <c r="D444" s="89"/>
      <c r="E444" s="89"/>
      <c r="AD444" s="87"/>
      <c r="AE444" s="87"/>
    </row>
    <row r="445">
      <c r="B445" s="88"/>
      <c r="C445" s="88"/>
      <c r="D445" s="89"/>
      <c r="E445" s="89"/>
      <c r="AD445" s="87"/>
      <c r="AE445" s="87"/>
    </row>
    <row r="446">
      <c r="B446" s="88"/>
      <c r="C446" s="88"/>
      <c r="D446" s="89"/>
      <c r="E446" s="89"/>
      <c r="AD446" s="87"/>
      <c r="AE446" s="87"/>
    </row>
    <row r="447">
      <c r="B447" s="88"/>
      <c r="C447" s="88"/>
      <c r="D447" s="89"/>
      <c r="E447" s="89"/>
      <c r="AD447" s="87"/>
      <c r="AE447" s="87"/>
    </row>
    <row r="448">
      <c r="B448" s="88"/>
      <c r="C448" s="88"/>
      <c r="D448" s="89"/>
      <c r="E448" s="89"/>
      <c r="AD448" s="87"/>
      <c r="AE448" s="87"/>
    </row>
    <row r="449">
      <c r="B449" s="88"/>
      <c r="C449" s="88"/>
      <c r="D449" s="89"/>
      <c r="E449" s="89"/>
      <c r="AD449" s="87"/>
      <c r="AE449" s="87"/>
    </row>
    <row r="450">
      <c r="B450" s="88"/>
      <c r="C450" s="88"/>
      <c r="D450" s="89"/>
      <c r="E450" s="89"/>
      <c r="AD450" s="87"/>
      <c r="AE450" s="87"/>
    </row>
    <row r="451">
      <c r="B451" s="88"/>
      <c r="C451" s="88"/>
      <c r="D451" s="89"/>
      <c r="E451" s="89"/>
      <c r="AD451" s="87"/>
      <c r="AE451" s="87"/>
    </row>
    <row r="452">
      <c r="B452" s="88"/>
      <c r="C452" s="88"/>
      <c r="D452" s="89"/>
      <c r="E452" s="89"/>
      <c r="AD452" s="87"/>
      <c r="AE452" s="87"/>
    </row>
    <row r="453">
      <c r="B453" s="88"/>
      <c r="C453" s="88"/>
      <c r="D453" s="89"/>
      <c r="E453" s="89"/>
      <c r="AD453" s="87"/>
      <c r="AE453" s="87"/>
    </row>
    <row r="454">
      <c r="B454" s="88"/>
      <c r="C454" s="88"/>
      <c r="D454" s="89"/>
      <c r="E454" s="89"/>
      <c r="AD454" s="87"/>
      <c r="AE454" s="87"/>
    </row>
    <row r="455">
      <c r="B455" s="88"/>
      <c r="C455" s="88"/>
      <c r="D455" s="89"/>
      <c r="E455" s="89"/>
      <c r="AD455" s="87"/>
      <c r="AE455" s="87"/>
    </row>
    <row r="456">
      <c r="B456" s="88"/>
      <c r="C456" s="88"/>
      <c r="D456" s="89"/>
      <c r="E456" s="89"/>
      <c r="AD456" s="87"/>
      <c r="AE456" s="87"/>
    </row>
    <row r="457">
      <c r="B457" s="88"/>
      <c r="C457" s="88"/>
      <c r="D457" s="89"/>
      <c r="E457" s="89"/>
      <c r="AD457" s="87"/>
      <c r="AE457" s="87"/>
    </row>
    <row r="458">
      <c r="B458" s="88"/>
      <c r="C458" s="88"/>
      <c r="D458" s="89"/>
      <c r="E458" s="89"/>
      <c r="AD458" s="87"/>
      <c r="AE458" s="87"/>
    </row>
    <row r="459">
      <c r="B459" s="88"/>
      <c r="C459" s="88"/>
      <c r="D459" s="89"/>
      <c r="E459" s="89"/>
      <c r="AD459" s="87"/>
      <c r="AE459" s="87"/>
    </row>
    <row r="460">
      <c r="B460" s="88"/>
      <c r="C460" s="88"/>
      <c r="D460" s="89"/>
      <c r="E460" s="89"/>
      <c r="AD460" s="87"/>
      <c r="AE460" s="87"/>
    </row>
    <row r="461">
      <c r="B461" s="88"/>
      <c r="C461" s="88"/>
      <c r="D461" s="89"/>
      <c r="E461" s="89"/>
      <c r="AD461" s="87"/>
      <c r="AE461" s="87"/>
    </row>
    <row r="462">
      <c r="B462" s="88"/>
      <c r="C462" s="88"/>
      <c r="D462" s="89"/>
      <c r="E462" s="89"/>
      <c r="AD462" s="87"/>
      <c r="AE462" s="87"/>
    </row>
    <row r="463">
      <c r="B463" s="88"/>
      <c r="C463" s="88"/>
      <c r="D463" s="89"/>
      <c r="E463" s="89"/>
      <c r="AD463" s="87"/>
      <c r="AE463" s="87"/>
    </row>
    <row r="464">
      <c r="B464" s="88"/>
      <c r="C464" s="88"/>
      <c r="D464" s="89"/>
      <c r="E464" s="89"/>
      <c r="AD464" s="87"/>
      <c r="AE464" s="87"/>
    </row>
    <row r="465">
      <c r="B465" s="88"/>
      <c r="C465" s="88"/>
      <c r="D465" s="89"/>
      <c r="E465" s="89"/>
      <c r="AD465" s="87"/>
      <c r="AE465" s="87"/>
    </row>
    <row r="466">
      <c r="B466" s="88"/>
      <c r="C466" s="88"/>
      <c r="D466" s="89"/>
      <c r="E466" s="89"/>
      <c r="AD466" s="87"/>
      <c r="AE466" s="87"/>
    </row>
    <row r="467">
      <c r="B467" s="88"/>
      <c r="C467" s="88"/>
      <c r="D467" s="89"/>
      <c r="E467" s="89"/>
      <c r="AD467" s="87"/>
      <c r="AE467" s="87"/>
    </row>
    <row r="468">
      <c r="B468" s="88"/>
      <c r="C468" s="88"/>
      <c r="D468" s="89"/>
      <c r="E468" s="89"/>
      <c r="AD468" s="87"/>
      <c r="AE468" s="87"/>
    </row>
    <row r="469">
      <c r="B469" s="88"/>
      <c r="C469" s="88"/>
      <c r="D469" s="89"/>
      <c r="E469" s="89"/>
      <c r="AD469" s="87"/>
      <c r="AE469" s="87"/>
    </row>
    <row r="470">
      <c r="B470" s="88"/>
      <c r="C470" s="88"/>
      <c r="D470" s="89"/>
      <c r="E470" s="89"/>
      <c r="AD470" s="87"/>
      <c r="AE470" s="87"/>
    </row>
    <row r="471">
      <c r="B471" s="88"/>
      <c r="C471" s="88"/>
      <c r="D471" s="89"/>
      <c r="E471" s="89"/>
      <c r="AD471" s="87"/>
      <c r="AE471" s="87"/>
    </row>
    <row r="472">
      <c r="B472" s="88"/>
      <c r="C472" s="88"/>
      <c r="D472" s="89"/>
      <c r="E472" s="89"/>
      <c r="AD472" s="87"/>
      <c r="AE472" s="87"/>
    </row>
    <row r="473">
      <c r="B473" s="88"/>
      <c r="C473" s="88"/>
      <c r="D473" s="89"/>
      <c r="E473" s="89"/>
      <c r="AD473" s="87"/>
      <c r="AE473" s="87"/>
    </row>
    <row r="474">
      <c r="B474" s="88"/>
      <c r="C474" s="88"/>
      <c r="D474" s="89"/>
      <c r="E474" s="89"/>
      <c r="AD474" s="87"/>
      <c r="AE474" s="87"/>
    </row>
    <row r="475">
      <c r="B475" s="88"/>
      <c r="C475" s="88"/>
      <c r="D475" s="89"/>
      <c r="E475" s="89"/>
      <c r="AD475" s="87"/>
      <c r="AE475" s="87"/>
    </row>
    <row r="476">
      <c r="B476" s="88"/>
      <c r="C476" s="88"/>
      <c r="D476" s="89"/>
      <c r="E476" s="89"/>
      <c r="AD476" s="87"/>
      <c r="AE476" s="87"/>
    </row>
    <row r="477">
      <c r="B477" s="88"/>
      <c r="C477" s="88"/>
      <c r="D477" s="89"/>
      <c r="E477" s="89"/>
      <c r="AD477" s="87"/>
      <c r="AE477" s="87"/>
    </row>
    <row r="478">
      <c r="B478" s="88"/>
      <c r="C478" s="88"/>
      <c r="D478" s="89"/>
      <c r="E478" s="89"/>
      <c r="AD478" s="87"/>
      <c r="AE478" s="87"/>
    </row>
    <row r="479">
      <c r="B479" s="88"/>
      <c r="C479" s="88"/>
      <c r="D479" s="89"/>
      <c r="E479" s="89"/>
      <c r="AD479" s="87"/>
      <c r="AE479" s="87"/>
    </row>
    <row r="480">
      <c r="B480" s="88"/>
      <c r="C480" s="88"/>
      <c r="D480" s="89"/>
      <c r="E480" s="89"/>
      <c r="AD480" s="87"/>
      <c r="AE480" s="87"/>
    </row>
    <row r="481">
      <c r="B481" s="88"/>
      <c r="C481" s="88"/>
      <c r="D481" s="89"/>
      <c r="E481" s="89"/>
      <c r="AD481" s="87"/>
      <c r="AE481" s="87"/>
    </row>
    <row r="482">
      <c r="B482" s="88"/>
      <c r="C482" s="88"/>
      <c r="D482" s="89"/>
      <c r="E482" s="89"/>
      <c r="AD482" s="87"/>
      <c r="AE482" s="87"/>
    </row>
    <row r="483">
      <c r="B483" s="88"/>
      <c r="C483" s="88"/>
      <c r="D483" s="89"/>
      <c r="E483" s="89"/>
      <c r="AD483" s="87"/>
      <c r="AE483" s="87"/>
    </row>
    <row r="484">
      <c r="B484" s="88"/>
      <c r="C484" s="88"/>
      <c r="D484" s="89"/>
      <c r="E484" s="89"/>
      <c r="AD484" s="87"/>
      <c r="AE484" s="87"/>
    </row>
    <row r="485">
      <c r="B485" s="88"/>
      <c r="C485" s="88"/>
      <c r="D485" s="89"/>
      <c r="E485" s="89"/>
      <c r="AD485" s="87"/>
      <c r="AE485" s="87"/>
    </row>
    <row r="486">
      <c r="B486" s="88"/>
      <c r="C486" s="88"/>
      <c r="D486" s="89"/>
      <c r="E486" s="89"/>
      <c r="AD486" s="87"/>
      <c r="AE486" s="87"/>
    </row>
    <row r="487">
      <c r="B487" s="88"/>
      <c r="C487" s="88"/>
      <c r="D487" s="89"/>
      <c r="E487" s="89"/>
      <c r="AD487" s="87"/>
      <c r="AE487" s="87"/>
    </row>
    <row r="488">
      <c r="B488" s="88"/>
      <c r="C488" s="88"/>
      <c r="D488" s="89"/>
      <c r="E488" s="89"/>
      <c r="AD488" s="87"/>
      <c r="AE488" s="87"/>
    </row>
    <row r="489">
      <c r="B489" s="88"/>
      <c r="C489" s="88"/>
      <c r="D489" s="89"/>
      <c r="E489" s="89"/>
      <c r="AD489" s="87"/>
      <c r="AE489" s="87"/>
    </row>
    <row r="490">
      <c r="B490" s="88"/>
      <c r="C490" s="88"/>
      <c r="D490" s="89"/>
      <c r="E490" s="89"/>
      <c r="AD490" s="87"/>
      <c r="AE490" s="87"/>
    </row>
    <row r="491">
      <c r="B491" s="88"/>
      <c r="C491" s="88"/>
      <c r="D491" s="89"/>
      <c r="E491" s="89"/>
      <c r="AD491" s="87"/>
      <c r="AE491" s="87"/>
    </row>
    <row r="492">
      <c r="B492" s="88"/>
      <c r="C492" s="88"/>
      <c r="D492" s="89"/>
      <c r="E492" s="89"/>
      <c r="AD492" s="87"/>
      <c r="AE492" s="87"/>
    </row>
    <row r="493">
      <c r="B493" s="88"/>
      <c r="C493" s="88"/>
      <c r="D493" s="89"/>
      <c r="E493" s="89"/>
      <c r="AD493" s="87"/>
      <c r="AE493" s="87"/>
    </row>
    <row r="494">
      <c r="B494" s="88"/>
      <c r="C494" s="88"/>
      <c r="D494" s="89"/>
      <c r="E494" s="89"/>
      <c r="AD494" s="87"/>
      <c r="AE494" s="87"/>
    </row>
    <row r="495">
      <c r="B495" s="88"/>
      <c r="C495" s="88"/>
      <c r="D495" s="89"/>
      <c r="E495" s="89"/>
      <c r="AD495" s="87"/>
      <c r="AE495" s="87"/>
    </row>
    <row r="496">
      <c r="B496" s="88"/>
      <c r="C496" s="88"/>
      <c r="D496" s="89"/>
      <c r="E496" s="89"/>
      <c r="AD496" s="87"/>
      <c r="AE496" s="87"/>
    </row>
    <row r="497">
      <c r="B497" s="88"/>
      <c r="C497" s="88"/>
      <c r="D497" s="89"/>
      <c r="E497" s="89"/>
      <c r="AD497" s="87"/>
      <c r="AE497" s="87"/>
    </row>
    <row r="498">
      <c r="B498" s="88"/>
      <c r="C498" s="88"/>
      <c r="D498" s="89"/>
      <c r="E498" s="89"/>
      <c r="AD498" s="87"/>
      <c r="AE498" s="87"/>
    </row>
    <row r="499">
      <c r="B499" s="88"/>
      <c r="C499" s="88"/>
      <c r="D499" s="89"/>
      <c r="E499" s="89"/>
      <c r="AD499" s="87"/>
      <c r="AE499" s="87"/>
    </row>
    <row r="500">
      <c r="B500" s="88"/>
      <c r="C500" s="88"/>
      <c r="D500" s="89"/>
      <c r="E500" s="89"/>
      <c r="AD500" s="87"/>
      <c r="AE500" s="87"/>
    </row>
    <row r="501">
      <c r="B501" s="88"/>
      <c r="C501" s="88"/>
      <c r="D501" s="89"/>
      <c r="E501" s="89"/>
      <c r="AD501" s="87"/>
      <c r="AE501" s="87"/>
    </row>
    <row r="502">
      <c r="B502" s="88"/>
      <c r="C502" s="88"/>
      <c r="D502" s="89"/>
      <c r="E502" s="89"/>
      <c r="AD502" s="87"/>
      <c r="AE502" s="87"/>
    </row>
    <row r="503">
      <c r="B503" s="88"/>
      <c r="C503" s="88"/>
      <c r="D503" s="89"/>
      <c r="E503" s="89"/>
      <c r="AD503" s="87"/>
      <c r="AE503" s="87"/>
    </row>
    <row r="504">
      <c r="B504" s="88"/>
      <c r="C504" s="88"/>
      <c r="D504" s="89"/>
      <c r="E504" s="89"/>
      <c r="AD504" s="87"/>
      <c r="AE504" s="87"/>
    </row>
    <row r="505">
      <c r="B505" s="88"/>
      <c r="C505" s="88"/>
      <c r="D505" s="89"/>
      <c r="E505" s="89"/>
      <c r="AD505" s="87"/>
      <c r="AE505" s="87"/>
    </row>
    <row r="506">
      <c r="B506" s="88"/>
      <c r="C506" s="88"/>
      <c r="D506" s="89"/>
      <c r="E506" s="89"/>
      <c r="AD506" s="87"/>
      <c r="AE506" s="87"/>
    </row>
    <row r="507">
      <c r="B507" s="88"/>
      <c r="C507" s="88"/>
      <c r="D507" s="89"/>
      <c r="E507" s="89"/>
      <c r="AD507" s="87"/>
      <c r="AE507" s="87"/>
    </row>
    <row r="508">
      <c r="B508" s="88"/>
      <c r="C508" s="88"/>
      <c r="D508" s="89"/>
      <c r="E508" s="89"/>
      <c r="AD508" s="87"/>
      <c r="AE508" s="87"/>
    </row>
    <row r="509">
      <c r="B509" s="88"/>
      <c r="C509" s="88"/>
      <c r="D509" s="89"/>
      <c r="E509" s="89"/>
      <c r="AD509" s="87"/>
      <c r="AE509" s="87"/>
    </row>
    <row r="510">
      <c r="B510" s="88"/>
      <c r="C510" s="88"/>
      <c r="D510" s="89"/>
      <c r="E510" s="89"/>
      <c r="AD510" s="87"/>
      <c r="AE510" s="87"/>
    </row>
    <row r="511">
      <c r="B511" s="88"/>
      <c r="C511" s="88"/>
      <c r="D511" s="89"/>
      <c r="E511" s="89"/>
      <c r="AD511" s="87"/>
      <c r="AE511" s="87"/>
    </row>
    <row r="512">
      <c r="B512" s="88"/>
      <c r="C512" s="88"/>
      <c r="D512" s="89"/>
      <c r="E512" s="89"/>
      <c r="AD512" s="87"/>
      <c r="AE512" s="87"/>
    </row>
    <row r="513">
      <c r="B513" s="88"/>
      <c r="C513" s="88"/>
      <c r="D513" s="89"/>
      <c r="E513" s="89"/>
      <c r="AD513" s="87"/>
      <c r="AE513" s="87"/>
    </row>
    <row r="514">
      <c r="B514" s="88"/>
      <c r="C514" s="88"/>
      <c r="D514" s="89"/>
      <c r="E514" s="89"/>
      <c r="AD514" s="87"/>
      <c r="AE514" s="87"/>
    </row>
    <row r="515">
      <c r="B515" s="88"/>
      <c r="C515" s="88"/>
      <c r="D515" s="89"/>
      <c r="E515" s="89"/>
      <c r="AD515" s="87"/>
      <c r="AE515" s="87"/>
    </row>
    <row r="516">
      <c r="B516" s="88"/>
      <c r="C516" s="88"/>
      <c r="D516" s="89"/>
      <c r="E516" s="89"/>
      <c r="AD516" s="87"/>
      <c r="AE516" s="87"/>
    </row>
    <row r="517">
      <c r="B517" s="88"/>
      <c r="C517" s="88"/>
      <c r="D517" s="89"/>
      <c r="E517" s="89"/>
      <c r="AD517" s="87"/>
      <c r="AE517" s="87"/>
    </row>
    <row r="518">
      <c r="B518" s="88"/>
      <c r="C518" s="88"/>
      <c r="D518" s="89"/>
      <c r="E518" s="89"/>
      <c r="AD518" s="87"/>
      <c r="AE518" s="87"/>
    </row>
    <row r="519">
      <c r="B519" s="88"/>
      <c r="C519" s="88"/>
      <c r="D519" s="89"/>
      <c r="E519" s="89"/>
      <c r="AD519" s="87"/>
      <c r="AE519" s="87"/>
    </row>
    <row r="520">
      <c r="B520" s="88"/>
      <c r="C520" s="88"/>
      <c r="D520" s="89"/>
      <c r="E520" s="89"/>
      <c r="AD520" s="87"/>
      <c r="AE520" s="87"/>
    </row>
    <row r="521">
      <c r="B521" s="88"/>
      <c r="C521" s="88"/>
      <c r="D521" s="89"/>
      <c r="E521" s="89"/>
      <c r="AD521" s="87"/>
      <c r="AE521" s="87"/>
    </row>
    <row r="522">
      <c r="B522" s="88"/>
      <c r="C522" s="88"/>
      <c r="D522" s="89"/>
      <c r="E522" s="89"/>
      <c r="AD522" s="87"/>
      <c r="AE522" s="87"/>
    </row>
    <row r="523">
      <c r="B523" s="88"/>
      <c r="C523" s="88"/>
      <c r="D523" s="89"/>
      <c r="E523" s="89"/>
      <c r="AD523" s="87"/>
      <c r="AE523" s="87"/>
    </row>
    <row r="524">
      <c r="B524" s="88"/>
      <c r="C524" s="88"/>
      <c r="D524" s="89"/>
      <c r="E524" s="89"/>
      <c r="AD524" s="87"/>
      <c r="AE524" s="87"/>
    </row>
    <row r="525">
      <c r="B525" s="88"/>
      <c r="C525" s="88"/>
      <c r="D525" s="89"/>
      <c r="E525" s="89"/>
      <c r="AD525" s="87"/>
      <c r="AE525" s="87"/>
    </row>
    <row r="526">
      <c r="B526" s="88"/>
      <c r="C526" s="88"/>
      <c r="D526" s="89"/>
      <c r="E526" s="89"/>
      <c r="AD526" s="87"/>
      <c r="AE526" s="87"/>
    </row>
    <row r="527">
      <c r="B527" s="88"/>
      <c r="C527" s="88"/>
      <c r="D527" s="89"/>
      <c r="E527" s="89"/>
      <c r="AD527" s="87"/>
      <c r="AE527" s="87"/>
    </row>
    <row r="528">
      <c r="B528" s="88"/>
      <c r="C528" s="88"/>
      <c r="D528" s="89"/>
      <c r="E528" s="89"/>
      <c r="AD528" s="87"/>
      <c r="AE528" s="87"/>
    </row>
    <row r="529">
      <c r="B529" s="88"/>
      <c r="C529" s="88"/>
      <c r="D529" s="89"/>
      <c r="E529" s="89"/>
      <c r="AD529" s="87"/>
      <c r="AE529" s="87"/>
    </row>
    <row r="530">
      <c r="B530" s="88"/>
      <c r="C530" s="88"/>
      <c r="D530" s="89"/>
      <c r="E530" s="89"/>
      <c r="AD530" s="87"/>
      <c r="AE530" s="87"/>
    </row>
    <row r="531">
      <c r="B531" s="88"/>
      <c r="C531" s="88"/>
      <c r="D531" s="89"/>
      <c r="E531" s="89"/>
      <c r="AD531" s="87"/>
      <c r="AE531" s="87"/>
    </row>
    <row r="532">
      <c r="B532" s="88"/>
      <c r="C532" s="88"/>
      <c r="D532" s="89"/>
      <c r="E532" s="89"/>
      <c r="AD532" s="87"/>
      <c r="AE532" s="87"/>
    </row>
    <row r="533">
      <c r="B533" s="88"/>
      <c r="C533" s="88"/>
      <c r="D533" s="89"/>
      <c r="E533" s="89"/>
      <c r="AD533" s="87"/>
      <c r="AE533" s="87"/>
    </row>
    <row r="534">
      <c r="B534" s="88"/>
      <c r="C534" s="88"/>
      <c r="D534" s="89"/>
      <c r="E534" s="89"/>
      <c r="AD534" s="87"/>
      <c r="AE534" s="87"/>
    </row>
    <row r="535">
      <c r="B535" s="88"/>
      <c r="C535" s="88"/>
      <c r="D535" s="89"/>
      <c r="E535" s="89"/>
      <c r="AD535" s="87"/>
      <c r="AE535" s="87"/>
    </row>
    <row r="536">
      <c r="B536" s="88"/>
      <c r="C536" s="88"/>
      <c r="D536" s="89"/>
      <c r="E536" s="89"/>
      <c r="AD536" s="87"/>
      <c r="AE536" s="87"/>
    </row>
    <row r="537">
      <c r="B537" s="88"/>
      <c r="C537" s="88"/>
      <c r="D537" s="89"/>
      <c r="E537" s="89"/>
      <c r="AD537" s="87"/>
      <c r="AE537" s="87"/>
    </row>
    <row r="538">
      <c r="B538" s="88"/>
      <c r="C538" s="88"/>
      <c r="D538" s="89"/>
      <c r="E538" s="89"/>
      <c r="AD538" s="87"/>
      <c r="AE538" s="87"/>
    </row>
    <row r="539">
      <c r="B539" s="88"/>
      <c r="C539" s="88"/>
      <c r="D539" s="89"/>
      <c r="E539" s="89"/>
      <c r="AD539" s="87"/>
      <c r="AE539" s="87"/>
    </row>
    <row r="540">
      <c r="B540" s="88"/>
      <c r="C540" s="88"/>
      <c r="D540" s="89"/>
      <c r="E540" s="89"/>
      <c r="AD540" s="87"/>
      <c r="AE540" s="87"/>
    </row>
    <row r="541">
      <c r="B541" s="88"/>
      <c r="C541" s="88"/>
      <c r="D541" s="89"/>
      <c r="E541" s="89"/>
      <c r="AD541" s="87"/>
      <c r="AE541" s="87"/>
    </row>
    <row r="542">
      <c r="B542" s="88"/>
      <c r="C542" s="88"/>
      <c r="D542" s="89"/>
      <c r="E542" s="89"/>
      <c r="AD542" s="87"/>
      <c r="AE542" s="87"/>
    </row>
    <row r="543">
      <c r="B543" s="88"/>
      <c r="C543" s="88"/>
      <c r="D543" s="89"/>
      <c r="E543" s="89"/>
      <c r="AD543" s="87"/>
      <c r="AE543" s="87"/>
    </row>
    <row r="544">
      <c r="B544" s="88"/>
      <c r="C544" s="88"/>
      <c r="D544" s="89"/>
      <c r="E544" s="89"/>
      <c r="AD544" s="87"/>
      <c r="AE544" s="87"/>
    </row>
    <row r="545">
      <c r="B545" s="88"/>
      <c r="C545" s="88"/>
      <c r="D545" s="89"/>
      <c r="E545" s="89"/>
      <c r="AD545" s="87"/>
      <c r="AE545" s="87"/>
    </row>
    <row r="546">
      <c r="B546" s="88"/>
      <c r="C546" s="88"/>
      <c r="D546" s="89"/>
      <c r="E546" s="89"/>
      <c r="AD546" s="87"/>
      <c r="AE546" s="87"/>
    </row>
    <row r="547">
      <c r="B547" s="88"/>
      <c r="C547" s="88"/>
      <c r="D547" s="89"/>
      <c r="E547" s="89"/>
      <c r="AD547" s="87"/>
      <c r="AE547" s="87"/>
    </row>
    <row r="548">
      <c r="B548" s="88"/>
      <c r="C548" s="88"/>
      <c r="D548" s="89"/>
      <c r="E548" s="89"/>
      <c r="AD548" s="87"/>
      <c r="AE548" s="87"/>
    </row>
    <row r="549">
      <c r="B549" s="88"/>
      <c r="C549" s="88"/>
      <c r="D549" s="89"/>
      <c r="E549" s="89"/>
      <c r="AD549" s="87"/>
      <c r="AE549" s="87"/>
    </row>
    <row r="550">
      <c r="B550" s="88"/>
      <c r="C550" s="88"/>
      <c r="D550" s="89"/>
      <c r="E550" s="89"/>
      <c r="AD550" s="87"/>
      <c r="AE550" s="87"/>
    </row>
    <row r="551">
      <c r="B551" s="88"/>
      <c r="C551" s="88"/>
      <c r="D551" s="89"/>
      <c r="E551" s="89"/>
      <c r="AD551" s="87"/>
      <c r="AE551" s="87"/>
    </row>
    <row r="552">
      <c r="B552" s="88"/>
      <c r="C552" s="88"/>
      <c r="D552" s="89"/>
      <c r="E552" s="89"/>
      <c r="AD552" s="87"/>
      <c r="AE552" s="87"/>
    </row>
    <row r="553">
      <c r="B553" s="88"/>
      <c r="C553" s="88"/>
      <c r="D553" s="89"/>
      <c r="E553" s="89"/>
      <c r="AD553" s="87"/>
      <c r="AE553" s="87"/>
    </row>
    <row r="554">
      <c r="B554" s="88"/>
      <c r="C554" s="88"/>
      <c r="D554" s="89"/>
      <c r="E554" s="89"/>
      <c r="AD554" s="87"/>
      <c r="AE554" s="87"/>
    </row>
    <row r="555">
      <c r="B555" s="88"/>
      <c r="C555" s="88"/>
      <c r="D555" s="89"/>
      <c r="E555" s="89"/>
      <c r="AD555" s="87"/>
      <c r="AE555" s="87"/>
    </row>
    <row r="556">
      <c r="B556" s="88"/>
      <c r="C556" s="88"/>
      <c r="D556" s="89"/>
      <c r="E556" s="89"/>
      <c r="AD556" s="87"/>
      <c r="AE556" s="87"/>
    </row>
    <row r="557">
      <c r="B557" s="88"/>
      <c r="C557" s="88"/>
      <c r="D557" s="89"/>
      <c r="E557" s="89"/>
      <c r="AD557" s="87"/>
      <c r="AE557" s="87"/>
    </row>
    <row r="558">
      <c r="B558" s="88"/>
      <c r="C558" s="88"/>
      <c r="D558" s="89"/>
      <c r="E558" s="89"/>
      <c r="AD558" s="87"/>
      <c r="AE558" s="87"/>
    </row>
    <row r="559">
      <c r="B559" s="88"/>
      <c r="C559" s="88"/>
      <c r="D559" s="89"/>
      <c r="E559" s="89"/>
      <c r="AD559" s="87"/>
      <c r="AE559" s="87"/>
    </row>
    <row r="560">
      <c r="B560" s="88"/>
      <c r="C560" s="88"/>
      <c r="D560" s="89"/>
      <c r="E560" s="89"/>
      <c r="AD560" s="87"/>
      <c r="AE560" s="87"/>
    </row>
    <row r="561">
      <c r="B561" s="88"/>
      <c r="C561" s="88"/>
      <c r="D561" s="89"/>
      <c r="E561" s="89"/>
      <c r="AD561" s="87"/>
      <c r="AE561" s="87"/>
    </row>
    <row r="562">
      <c r="B562" s="88"/>
      <c r="C562" s="88"/>
      <c r="D562" s="89"/>
      <c r="E562" s="89"/>
      <c r="AD562" s="87"/>
      <c r="AE562" s="87"/>
    </row>
    <row r="563">
      <c r="B563" s="88"/>
      <c r="C563" s="88"/>
      <c r="D563" s="89"/>
      <c r="E563" s="89"/>
      <c r="AD563" s="87"/>
      <c r="AE563" s="87"/>
    </row>
    <row r="564">
      <c r="B564" s="88"/>
      <c r="C564" s="88"/>
      <c r="D564" s="89"/>
      <c r="E564" s="89"/>
      <c r="AD564" s="87"/>
      <c r="AE564" s="87"/>
    </row>
    <row r="565">
      <c r="B565" s="88"/>
      <c r="C565" s="88"/>
      <c r="D565" s="89"/>
      <c r="E565" s="89"/>
      <c r="AD565" s="87"/>
      <c r="AE565" s="87"/>
    </row>
    <row r="566">
      <c r="B566" s="88"/>
      <c r="C566" s="88"/>
      <c r="D566" s="89"/>
      <c r="E566" s="89"/>
      <c r="AD566" s="87"/>
      <c r="AE566" s="87"/>
    </row>
    <row r="567">
      <c r="B567" s="88"/>
      <c r="C567" s="88"/>
      <c r="D567" s="89"/>
      <c r="E567" s="89"/>
      <c r="AD567" s="87"/>
      <c r="AE567" s="87"/>
    </row>
    <row r="568">
      <c r="B568" s="88"/>
      <c r="C568" s="88"/>
      <c r="D568" s="89"/>
      <c r="E568" s="89"/>
      <c r="AD568" s="87"/>
      <c r="AE568" s="87"/>
    </row>
    <row r="569">
      <c r="B569" s="88"/>
      <c r="C569" s="88"/>
      <c r="D569" s="89"/>
      <c r="E569" s="89"/>
      <c r="AD569" s="87"/>
      <c r="AE569" s="87"/>
    </row>
    <row r="570">
      <c r="B570" s="88"/>
      <c r="C570" s="88"/>
      <c r="D570" s="89"/>
      <c r="E570" s="89"/>
      <c r="AD570" s="87"/>
      <c r="AE570" s="87"/>
    </row>
    <row r="571">
      <c r="B571" s="88"/>
      <c r="C571" s="88"/>
      <c r="D571" s="89"/>
      <c r="E571" s="89"/>
      <c r="AD571" s="87"/>
      <c r="AE571" s="87"/>
    </row>
    <row r="572">
      <c r="B572" s="88"/>
      <c r="C572" s="88"/>
      <c r="D572" s="89"/>
      <c r="E572" s="89"/>
      <c r="AD572" s="87"/>
      <c r="AE572" s="87"/>
    </row>
    <row r="573">
      <c r="B573" s="88"/>
      <c r="C573" s="88"/>
      <c r="D573" s="89"/>
      <c r="E573" s="89"/>
      <c r="AD573" s="87"/>
      <c r="AE573" s="87"/>
    </row>
    <row r="574">
      <c r="B574" s="88"/>
      <c r="C574" s="88"/>
      <c r="D574" s="89"/>
      <c r="E574" s="89"/>
      <c r="AD574" s="87"/>
      <c r="AE574" s="87"/>
    </row>
    <row r="575">
      <c r="B575" s="88"/>
      <c r="C575" s="88"/>
      <c r="D575" s="89"/>
      <c r="E575" s="89"/>
      <c r="AD575" s="87"/>
      <c r="AE575" s="87"/>
    </row>
    <row r="576">
      <c r="B576" s="88"/>
      <c r="C576" s="88"/>
      <c r="D576" s="89"/>
      <c r="E576" s="89"/>
      <c r="AD576" s="87"/>
      <c r="AE576" s="87"/>
    </row>
    <row r="577">
      <c r="B577" s="88"/>
      <c r="C577" s="88"/>
      <c r="D577" s="89"/>
      <c r="E577" s="89"/>
      <c r="AD577" s="87"/>
      <c r="AE577" s="87"/>
    </row>
    <row r="578">
      <c r="B578" s="88"/>
      <c r="C578" s="88"/>
      <c r="D578" s="89"/>
      <c r="E578" s="89"/>
      <c r="AD578" s="87"/>
      <c r="AE578" s="87"/>
    </row>
    <row r="579">
      <c r="B579" s="88"/>
      <c r="C579" s="88"/>
      <c r="D579" s="89"/>
      <c r="E579" s="89"/>
      <c r="AD579" s="87"/>
      <c r="AE579" s="87"/>
    </row>
    <row r="580">
      <c r="B580" s="88"/>
      <c r="C580" s="88"/>
      <c r="D580" s="89"/>
      <c r="E580" s="89"/>
      <c r="AD580" s="87"/>
      <c r="AE580" s="87"/>
    </row>
    <row r="581">
      <c r="B581" s="88"/>
      <c r="C581" s="88"/>
      <c r="D581" s="89"/>
      <c r="E581" s="89"/>
      <c r="AD581" s="87"/>
      <c r="AE581" s="87"/>
    </row>
    <row r="582">
      <c r="B582" s="88"/>
      <c r="C582" s="88"/>
      <c r="D582" s="89"/>
      <c r="E582" s="89"/>
      <c r="AD582" s="87"/>
      <c r="AE582" s="87"/>
    </row>
    <row r="583">
      <c r="B583" s="88"/>
      <c r="C583" s="88"/>
      <c r="D583" s="89"/>
      <c r="E583" s="89"/>
      <c r="AD583" s="87"/>
      <c r="AE583" s="87"/>
    </row>
    <row r="584">
      <c r="B584" s="88"/>
      <c r="C584" s="88"/>
      <c r="D584" s="89"/>
      <c r="E584" s="89"/>
      <c r="AD584" s="87"/>
      <c r="AE584" s="87"/>
    </row>
    <row r="585">
      <c r="B585" s="88"/>
      <c r="C585" s="88"/>
      <c r="D585" s="89"/>
      <c r="E585" s="89"/>
      <c r="AD585" s="87"/>
      <c r="AE585" s="87"/>
    </row>
    <row r="586">
      <c r="B586" s="88"/>
      <c r="C586" s="88"/>
      <c r="D586" s="89"/>
      <c r="E586" s="89"/>
      <c r="AD586" s="87"/>
      <c r="AE586" s="87"/>
    </row>
    <row r="587">
      <c r="B587" s="88"/>
      <c r="C587" s="88"/>
      <c r="D587" s="89"/>
      <c r="E587" s="89"/>
      <c r="AD587" s="87"/>
      <c r="AE587" s="87"/>
    </row>
    <row r="588">
      <c r="B588" s="88"/>
      <c r="C588" s="88"/>
      <c r="D588" s="89"/>
      <c r="E588" s="89"/>
      <c r="AD588" s="87"/>
      <c r="AE588" s="87"/>
    </row>
    <row r="589">
      <c r="B589" s="88"/>
      <c r="C589" s="88"/>
      <c r="D589" s="89"/>
      <c r="E589" s="89"/>
      <c r="AD589" s="87"/>
      <c r="AE589" s="87"/>
    </row>
    <row r="590">
      <c r="B590" s="88"/>
      <c r="C590" s="88"/>
      <c r="D590" s="89"/>
      <c r="E590" s="89"/>
      <c r="AD590" s="87"/>
      <c r="AE590" s="87"/>
    </row>
    <row r="591">
      <c r="B591" s="88"/>
      <c r="C591" s="88"/>
      <c r="D591" s="89"/>
      <c r="E591" s="89"/>
      <c r="AD591" s="87"/>
      <c r="AE591" s="87"/>
    </row>
    <row r="592">
      <c r="B592" s="88"/>
      <c r="C592" s="88"/>
      <c r="D592" s="89"/>
      <c r="E592" s="89"/>
      <c r="AD592" s="87"/>
      <c r="AE592" s="87"/>
    </row>
    <row r="593">
      <c r="B593" s="88"/>
      <c r="C593" s="88"/>
      <c r="D593" s="89"/>
      <c r="E593" s="89"/>
      <c r="AD593" s="87"/>
      <c r="AE593" s="87"/>
    </row>
    <row r="594">
      <c r="B594" s="88"/>
      <c r="C594" s="88"/>
      <c r="D594" s="89"/>
      <c r="E594" s="89"/>
      <c r="AD594" s="87"/>
      <c r="AE594" s="87"/>
    </row>
    <row r="595">
      <c r="B595" s="88"/>
      <c r="C595" s="88"/>
      <c r="D595" s="89"/>
      <c r="E595" s="89"/>
      <c r="AD595" s="87"/>
      <c r="AE595" s="87"/>
    </row>
    <row r="596">
      <c r="B596" s="88"/>
      <c r="C596" s="88"/>
      <c r="D596" s="89"/>
      <c r="E596" s="89"/>
      <c r="AD596" s="87"/>
      <c r="AE596" s="87"/>
    </row>
    <row r="597">
      <c r="B597" s="88"/>
      <c r="C597" s="88"/>
      <c r="D597" s="89"/>
      <c r="E597" s="89"/>
      <c r="AD597" s="87"/>
      <c r="AE597" s="87"/>
    </row>
    <row r="598">
      <c r="B598" s="88"/>
      <c r="C598" s="88"/>
      <c r="D598" s="89"/>
      <c r="E598" s="89"/>
      <c r="AD598" s="87"/>
      <c r="AE598" s="87"/>
    </row>
    <row r="599">
      <c r="B599" s="88"/>
      <c r="C599" s="88"/>
      <c r="D599" s="89"/>
      <c r="E599" s="89"/>
      <c r="AD599" s="87"/>
      <c r="AE599" s="87"/>
    </row>
    <row r="600">
      <c r="B600" s="88"/>
      <c r="C600" s="88"/>
      <c r="D600" s="89"/>
      <c r="E600" s="89"/>
      <c r="AD600" s="87"/>
      <c r="AE600" s="87"/>
    </row>
    <row r="601">
      <c r="B601" s="88"/>
      <c r="C601" s="88"/>
      <c r="D601" s="89"/>
      <c r="E601" s="89"/>
      <c r="AD601" s="87"/>
      <c r="AE601" s="87"/>
    </row>
    <row r="602">
      <c r="B602" s="88"/>
      <c r="C602" s="88"/>
      <c r="D602" s="89"/>
      <c r="E602" s="89"/>
      <c r="AD602" s="87"/>
      <c r="AE602" s="87"/>
    </row>
    <row r="603">
      <c r="B603" s="88"/>
      <c r="C603" s="88"/>
      <c r="D603" s="89"/>
      <c r="E603" s="89"/>
      <c r="AD603" s="87"/>
      <c r="AE603" s="87"/>
    </row>
    <row r="604">
      <c r="B604" s="88"/>
      <c r="C604" s="88"/>
      <c r="D604" s="89"/>
      <c r="E604" s="89"/>
      <c r="AD604" s="87"/>
      <c r="AE604" s="87"/>
    </row>
    <row r="605">
      <c r="B605" s="88"/>
      <c r="C605" s="88"/>
      <c r="D605" s="89"/>
      <c r="E605" s="89"/>
      <c r="AD605" s="87"/>
      <c r="AE605" s="87"/>
    </row>
    <row r="606">
      <c r="B606" s="88"/>
      <c r="C606" s="88"/>
      <c r="D606" s="89"/>
      <c r="E606" s="89"/>
      <c r="AD606" s="87"/>
      <c r="AE606" s="87"/>
    </row>
    <row r="607">
      <c r="B607" s="88"/>
      <c r="C607" s="88"/>
      <c r="D607" s="89"/>
      <c r="E607" s="89"/>
      <c r="AD607" s="87"/>
      <c r="AE607" s="87"/>
    </row>
    <row r="608">
      <c r="B608" s="88"/>
      <c r="C608" s="88"/>
      <c r="D608" s="89"/>
      <c r="E608" s="89"/>
      <c r="AD608" s="87"/>
      <c r="AE608" s="87"/>
    </row>
    <row r="609">
      <c r="B609" s="88"/>
      <c r="C609" s="88"/>
      <c r="D609" s="89"/>
      <c r="E609" s="89"/>
      <c r="AD609" s="87"/>
      <c r="AE609" s="87"/>
    </row>
    <row r="610">
      <c r="B610" s="88"/>
      <c r="C610" s="88"/>
      <c r="D610" s="89"/>
      <c r="E610" s="89"/>
      <c r="AD610" s="87"/>
      <c r="AE610" s="87"/>
    </row>
    <row r="611">
      <c r="B611" s="88"/>
      <c r="C611" s="88"/>
      <c r="D611" s="89"/>
      <c r="E611" s="89"/>
      <c r="AD611" s="87"/>
      <c r="AE611" s="87"/>
    </row>
    <row r="612">
      <c r="B612" s="88"/>
      <c r="C612" s="88"/>
      <c r="D612" s="89"/>
      <c r="E612" s="89"/>
      <c r="AD612" s="87"/>
      <c r="AE612" s="87"/>
    </row>
    <row r="613">
      <c r="B613" s="88"/>
      <c r="C613" s="88"/>
      <c r="D613" s="89"/>
      <c r="E613" s="89"/>
      <c r="AD613" s="87"/>
      <c r="AE613" s="87"/>
    </row>
    <row r="614">
      <c r="B614" s="88"/>
      <c r="C614" s="88"/>
      <c r="D614" s="89"/>
      <c r="E614" s="89"/>
      <c r="AD614" s="87"/>
      <c r="AE614" s="87"/>
    </row>
    <row r="615">
      <c r="B615" s="88"/>
      <c r="C615" s="88"/>
      <c r="D615" s="89"/>
      <c r="E615" s="89"/>
      <c r="AD615" s="87"/>
      <c r="AE615" s="87"/>
    </row>
    <row r="616">
      <c r="B616" s="88"/>
      <c r="C616" s="88"/>
      <c r="D616" s="89"/>
      <c r="E616" s="89"/>
      <c r="AD616" s="87"/>
      <c r="AE616" s="87"/>
    </row>
    <row r="617">
      <c r="B617" s="88"/>
      <c r="C617" s="88"/>
      <c r="D617" s="89"/>
      <c r="E617" s="89"/>
      <c r="AD617" s="87"/>
      <c r="AE617" s="87"/>
    </row>
    <row r="618">
      <c r="B618" s="88"/>
      <c r="C618" s="88"/>
      <c r="D618" s="89"/>
      <c r="E618" s="89"/>
      <c r="AD618" s="87"/>
      <c r="AE618" s="87"/>
    </row>
    <row r="619">
      <c r="B619" s="88"/>
      <c r="C619" s="88"/>
      <c r="D619" s="89"/>
      <c r="E619" s="89"/>
      <c r="AD619" s="87"/>
      <c r="AE619" s="87"/>
    </row>
    <row r="620">
      <c r="B620" s="88"/>
      <c r="C620" s="88"/>
      <c r="D620" s="89"/>
      <c r="E620" s="89"/>
      <c r="AD620" s="87"/>
      <c r="AE620" s="87"/>
    </row>
    <row r="621">
      <c r="B621" s="88"/>
      <c r="C621" s="88"/>
      <c r="D621" s="89"/>
      <c r="E621" s="89"/>
      <c r="AD621" s="87"/>
      <c r="AE621" s="87"/>
    </row>
    <row r="622">
      <c r="B622" s="88"/>
      <c r="C622" s="88"/>
      <c r="D622" s="89"/>
      <c r="E622" s="89"/>
      <c r="AD622" s="87"/>
      <c r="AE622" s="87"/>
    </row>
    <row r="623">
      <c r="B623" s="88"/>
      <c r="C623" s="88"/>
      <c r="D623" s="89"/>
      <c r="E623" s="89"/>
      <c r="AD623" s="87"/>
      <c r="AE623" s="87"/>
    </row>
    <row r="624">
      <c r="B624" s="88"/>
      <c r="C624" s="88"/>
      <c r="D624" s="89"/>
      <c r="E624" s="89"/>
      <c r="AD624" s="87"/>
      <c r="AE624" s="87"/>
    </row>
    <row r="625">
      <c r="B625" s="88"/>
      <c r="C625" s="88"/>
      <c r="D625" s="89"/>
      <c r="E625" s="89"/>
      <c r="AD625" s="87"/>
      <c r="AE625" s="87"/>
    </row>
    <row r="626">
      <c r="B626" s="88"/>
      <c r="C626" s="88"/>
      <c r="D626" s="89"/>
      <c r="E626" s="89"/>
      <c r="AD626" s="87"/>
      <c r="AE626" s="87"/>
    </row>
    <row r="627">
      <c r="B627" s="88"/>
      <c r="C627" s="88"/>
      <c r="D627" s="89"/>
      <c r="E627" s="89"/>
      <c r="AD627" s="87"/>
      <c r="AE627" s="87"/>
    </row>
    <row r="628">
      <c r="B628" s="88"/>
      <c r="C628" s="88"/>
      <c r="D628" s="89"/>
      <c r="E628" s="89"/>
      <c r="AD628" s="87"/>
      <c r="AE628" s="87"/>
    </row>
    <row r="629">
      <c r="B629" s="88"/>
      <c r="C629" s="88"/>
      <c r="D629" s="89"/>
      <c r="E629" s="89"/>
      <c r="AD629" s="87"/>
      <c r="AE629" s="87"/>
    </row>
    <row r="630">
      <c r="B630" s="88"/>
      <c r="C630" s="88"/>
      <c r="D630" s="89"/>
      <c r="E630" s="89"/>
      <c r="AD630" s="87"/>
      <c r="AE630" s="87"/>
    </row>
    <row r="631">
      <c r="B631" s="88"/>
      <c r="C631" s="88"/>
      <c r="D631" s="89"/>
      <c r="E631" s="89"/>
      <c r="AD631" s="87"/>
      <c r="AE631" s="87"/>
    </row>
    <row r="632">
      <c r="B632" s="88"/>
      <c r="C632" s="88"/>
      <c r="D632" s="89"/>
      <c r="E632" s="89"/>
      <c r="AD632" s="87"/>
      <c r="AE632" s="87"/>
    </row>
    <row r="633">
      <c r="B633" s="88"/>
      <c r="C633" s="88"/>
      <c r="D633" s="89"/>
      <c r="E633" s="89"/>
      <c r="AD633" s="87"/>
      <c r="AE633" s="87"/>
    </row>
    <row r="634">
      <c r="B634" s="88"/>
      <c r="C634" s="88"/>
      <c r="D634" s="89"/>
      <c r="E634" s="89"/>
      <c r="AD634" s="87"/>
      <c r="AE634" s="87"/>
    </row>
    <row r="635">
      <c r="B635" s="88"/>
      <c r="C635" s="88"/>
      <c r="D635" s="89"/>
      <c r="E635" s="89"/>
      <c r="AD635" s="87"/>
      <c r="AE635" s="87"/>
    </row>
    <row r="636">
      <c r="B636" s="88"/>
      <c r="C636" s="88"/>
      <c r="D636" s="89"/>
      <c r="E636" s="89"/>
      <c r="AD636" s="87"/>
      <c r="AE636" s="87"/>
    </row>
    <row r="637">
      <c r="B637" s="88"/>
      <c r="C637" s="88"/>
      <c r="D637" s="89"/>
      <c r="E637" s="89"/>
      <c r="AD637" s="87"/>
      <c r="AE637" s="87"/>
    </row>
    <row r="638">
      <c r="B638" s="88"/>
      <c r="C638" s="88"/>
      <c r="D638" s="89"/>
      <c r="E638" s="89"/>
      <c r="AD638" s="87"/>
      <c r="AE638" s="87"/>
    </row>
    <row r="639">
      <c r="B639" s="88"/>
      <c r="C639" s="88"/>
      <c r="D639" s="89"/>
      <c r="E639" s="89"/>
      <c r="AD639" s="87"/>
      <c r="AE639" s="87"/>
    </row>
    <row r="640">
      <c r="B640" s="88"/>
      <c r="C640" s="88"/>
      <c r="D640" s="89"/>
      <c r="E640" s="89"/>
      <c r="AD640" s="87"/>
      <c r="AE640" s="87"/>
    </row>
    <row r="641">
      <c r="B641" s="88"/>
      <c r="C641" s="88"/>
      <c r="D641" s="89"/>
      <c r="E641" s="89"/>
      <c r="AD641" s="87"/>
      <c r="AE641" s="87"/>
    </row>
    <row r="642">
      <c r="B642" s="88"/>
      <c r="C642" s="88"/>
      <c r="D642" s="89"/>
      <c r="E642" s="89"/>
      <c r="AD642" s="87"/>
      <c r="AE642" s="87"/>
    </row>
    <row r="643">
      <c r="B643" s="88"/>
      <c r="C643" s="88"/>
      <c r="D643" s="89"/>
      <c r="E643" s="89"/>
      <c r="AD643" s="87"/>
      <c r="AE643" s="87"/>
    </row>
    <row r="644">
      <c r="B644" s="88"/>
      <c r="C644" s="88"/>
      <c r="D644" s="89"/>
      <c r="E644" s="89"/>
      <c r="AD644" s="87"/>
      <c r="AE644" s="87"/>
    </row>
    <row r="645">
      <c r="B645" s="88"/>
      <c r="C645" s="88"/>
      <c r="D645" s="89"/>
      <c r="E645" s="89"/>
      <c r="AD645" s="87"/>
      <c r="AE645" s="87"/>
    </row>
    <row r="646">
      <c r="B646" s="88"/>
      <c r="C646" s="88"/>
      <c r="D646" s="89"/>
      <c r="E646" s="89"/>
      <c r="AD646" s="87"/>
      <c r="AE646" s="87"/>
    </row>
    <row r="647">
      <c r="B647" s="88"/>
      <c r="C647" s="88"/>
      <c r="D647" s="89"/>
      <c r="E647" s="89"/>
      <c r="AD647" s="87"/>
      <c r="AE647" s="87"/>
    </row>
    <row r="648">
      <c r="B648" s="88"/>
      <c r="C648" s="88"/>
      <c r="D648" s="89"/>
      <c r="E648" s="89"/>
      <c r="AD648" s="87"/>
      <c r="AE648" s="87"/>
    </row>
    <row r="649">
      <c r="B649" s="88"/>
      <c r="C649" s="88"/>
      <c r="D649" s="89"/>
      <c r="E649" s="89"/>
      <c r="AD649" s="87"/>
      <c r="AE649" s="87"/>
    </row>
    <row r="650">
      <c r="B650" s="88"/>
      <c r="C650" s="88"/>
      <c r="D650" s="89"/>
      <c r="E650" s="89"/>
      <c r="AD650" s="87"/>
      <c r="AE650" s="87"/>
    </row>
    <row r="651">
      <c r="B651" s="88"/>
      <c r="C651" s="88"/>
      <c r="D651" s="89"/>
      <c r="E651" s="89"/>
      <c r="AD651" s="87"/>
      <c r="AE651" s="87"/>
    </row>
    <row r="652">
      <c r="B652" s="88"/>
      <c r="C652" s="88"/>
      <c r="D652" s="89"/>
      <c r="E652" s="89"/>
      <c r="AD652" s="87"/>
      <c r="AE652" s="87"/>
    </row>
    <row r="653">
      <c r="B653" s="88"/>
      <c r="C653" s="88"/>
      <c r="D653" s="89"/>
      <c r="E653" s="89"/>
      <c r="AD653" s="87"/>
      <c r="AE653" s="87"/>
    </row>
    <row r="654">
      <c r="B654" s="88"/>
      <c r="C654" s="88"/>
      <c r="D654" s="89"/>
      <c r="E654" s="89"/>
      <c r="AD654" s="87"/>
      <c r="AE654" s="87"/>
    </row>
    <row r="655">
      <c r="B655" s="88"/>
      <c r="C655" s="88"/>
      <c r="D655" s="89"/>
      <c r="E655" s="89"/>
      <c r="AD655" s="87"/>
      <c r="AE655" s="87"/>
    </row>
    <row r="656">
      <c r="B656" s="88"/>
      <c r="C656" s="88"/>
      <c r="D656" s="89"/>
      <c r="E656" s="89"/>
      <c r="AD656" s="87"/>
      <c r="AE656" s="87"/>
    </row>
    <row r="657">
      <c r="B657" s="88"/>
      <c r="C657" s="88"/>
      <c r="D657" s="89"/>
      <c r="E657" s="89"/>
      <c r="AD657" s="87"/>
      <c r="AE657" s="87"/>
    </row>
    <row r="658">
      <c r="B658" s="88"/>
      <c r="C658" s="88"/>
      <c r="D658" s="89"/>
      <c r="E658" s="89"/>
      <c r="AD658" s="87"/>
      <c r="AE658" s="87"/>
    </row>
    <row r="659">
      <c r="B659" s="88"/>
      <c r="C659" s="88"/>
      <c r="D659" s="89"/>
      <c r="E659" s="89"/>
      <c r="AD659" s="87"/>
      <c r="AE659" s="87"/>
    </row>
    <row r="660">
      <c r="B660" s="88"/>
      <c r="C660" s="88"/>
      <c r="D660" s="89"/>
      <c r="E660" s="89"/>
      <c r="AD660" s="87"/>
      <c r="AE660" s="87"/>
    </row>
    <row r="661">
      <c r="B661" s="88"/>
      <c r="C661" s="88"/>
      <c r="D661" s="89"/>
      <c r="E661" s="89"/>
      <c r="AD661" s="87"/>
      <c r="AE661" s="87"/>
    </row>
    <row r="662">
      <c r="B662" s="88"/>
      <c r="C662" s="88"/>
      <c r="D662" s="89"/>
      <c r="E662" s="89"/>
      <c r="AD662" s="87"/>
      <c r="AE662" s="87"/>
    </row>
    <row r="663">
      <c r="B663" s="88"/>
      <c r="C663" s="88"/>
      <c r="D663" s="89"/>
      <c r="E663" s="89"/>
      <c r="AD663" s="87"/>
      <c r="AE663" s="87"/>
    </row>
    <row r="664">
      <c r="B664" s="88"/>
      <c r="C664" s="88"/>
      <c r="D664" s="89"/>
      <c r="E664" s="89"/>
      <c r="AD664" s="87"/>
      <c r="AE664" s="87"/>
    </row>
    <row r="665">
      <c r="B665" s="88"/>
      <c r="C665" s="88"/>
      <c r="D665" s="89"/>
      <c r="E665" s="89"/>
      <c r="AD665" s="87"/>
      <c r="AE665" s="87"/>
    </row>
    <row r="666">
      <c r="B666" s="88"/>
      <c r="C666" s="88"/>
      <c r="D666" s="89"/>
      <c r="E666" s="89"/>
      <c r="AD666" s="87"/>
      <c r="AE666" s="87"/>
    </row>
    <row r="667">
      <c r="B667" s="88"/>
      <c r="C667" s="88"/>
      <c r="D667" s="89"/>
      <c r="E667" s="89"/>
      <c r="AD667" s="87"/>
      <c r="AE667" s="87"/>
    </row>
    <row r="668">
      <c r="B668" s="88"/>
      <c r="C668" s="88"/>
      <c r="D668" s="89"/>
      <c r="E668" s="89"/>
      <c r="AD668" s="87"/>
      <c r="AE668" s="87"/>
    </row>
    <row r="669">
      <c r="B669" s="88"/>
      <c r="C669" s="88"/>
      <c r="D669" s="89"/>
      <c r="E669" s="89"/>
      <c r="AD669" s="87"/>
      <c r="AE669" s="87"/>
    </row>
    <row r="670">
      <c r="B670" s="88"/>
      <c r="C670" s="88"/>
      <c r="D670" s="89"/>
      <c r="E670" s="89"/>
      <c r="AD670" s="87"/>
      <c r="AE670" s="87"/>
    </row>
    <row r="671">
      <c r="B671" s="88"/>
      <c r="C671" s="88"/>
      <c r="D671" s="89"/>
      <c r="E671" s="89"/>
      <c r="AD671" s="87"/>
      <c r="AE671" s="87"/>
    </row>
    <row r="672">
      <c r="B672" s="88"/>
      <c r="C672" s="88"/>
      <c r="D672" s="89"/>
      <c r="E672" s="89"/>
      <c r="AD672" s="87"/>
      <c r="AE672" s="87"/>
    </row>
    <row r="673">
      <c r="B673" s="88"/>
      <c r="C673" s="88"/>
      <c r="D673" s="89"/>
      <c r="E673" s="89"/>
      <c r="AD673" s="87"/>
      <c r="AE673" s="87"/>
    </row>
    <row r="674">
      <c r="B674" s="88"/>
      <c r="C674" s="88"/>
      <c r="D674" s="89"/>
      <c r="E674" s="89"/>
      <c r="AD674" s="87"/>
      <c r="AE674" s="87"/>
    </row>
    <row r="675">
      <c r="B675" s="88"/>
      <c r="C675" s="88"/>
      <c r="D675" s="89"/>
      <c r="E675" s="89"/>
      <c r="AD675" s="87"/>
      <c r="AE675" s="87"/>
    </row>
    <row r="676">
      <c r="B676" s="88"/>
      <c r="C676" s="88"/>
      <c r="D676" s="89"/>
      <c r="E676" s="89"/>
      <c r="AD676" s="87"/>
      <c r="AE676" s="87"/>
    </row>
    <row r="677">
      <c r="B677" s="88"/>
      <c r="C677" s="88"/>
      <c r="D677" s="89"/>
      <c r="E677" s="89"/>
      <c r="AD677" s="87"/>
      <c r="AE677" s="87"/>
    </row>
    <row r="678">
      <c r="B678" s="88"/>
      <c r="C678" s="88"/>
      <c r="D678" s="89"/>
      <c r="E678" s="89"/>
      <c r="AD678" s="87"/>
      <c r="AE678" s="87"/>
    </row>
    <row r="679">
      <c r="B679" s="88"/>
      <c r="C679" s="88"/>
      <c r="D679" s="89"/>
      <c r="E679" s="89"/>
      <c r="AD679" s="87"/>
      <c r="AE679" s="87"/>
    </row>
    <row r="680">
      <c r="B680" s="88"/>
      <c r="C680" s="88"/>
      <c r="D680" s="89"/>
      <c r="E680" s="89"/>
      <c r="AD680" s="87"/>
      <c r="AE680" s="87"/>
    </row>
    <row r="681">
      <c r="B681" s="88"/>
      <c r="C681" s="88"/>
      <c r="D681" s="89"/>
      <c r="E681" s="89"/>
      <c r="AD681" s="87"/>
      <c r="AE681" s="87"/>
    </row>
    <row r="682">
      <c r="B682" s="88"/>
      <c r="C682" s="88"/>
      <c r="D682" s="89"/>
      <c r="E682" s="89"/>
      <c r="AD682" s="87"/>
      <c r="AE682" s="87"/>
    </row>
    <row r="683">
      <c r="B683" s="88"/>
      <c r="C683" s="88"/>
      <c r="D683" s="89"/>
      <c r="E683" s="89"/>
      <c r="AD683" s="87"/>
      <c r="AE683" s="87"/>
    </row>
    <row r="684">
      <c r="B684" s="88"/>
      <c r="C684" s="88"/>
      <c r="D684" s="89"/>
      <c r="E684" s="89"/>
      <c r="AD684" s="87"/>
      <c r="AE684" s="87"/>
    </row>
    <row r="685">
      <c r="B685" s="88"/>
      <c r="C685" s="88"/>
      <c r="D685" s="89"/>
      <c r="E685" s="89"/>
      <c r="AD685" s="87"/>
      <c r="AE685" s="87"/>
    </row>
    <row r="686">
      <c r="B686" s="88"/>
      <c r="C686" s="88"/>
      <c r="D686" s="89"/>
      <c r="E686" s="89"/>
      <c r="AD686" s="87"/>
      <c r="AE686" s="87"/>
    </row>
    <row r="687">
      <c r="B687" s="88"/>
      <c r="C687" s="88"/>
      <c r="D687" s="89"/>
      <c r="E687" s="89"/>
      <c r="AD687" s="87"/>
      <c r="AE687" s="87"/>
    </row>
    <row r="688">
      <c r="B688" s="88"/>
      <c r="C688" s="88"/>
      <c r="D688" s="89"/>
      <c r="E688" s="89"/>
      <c r="AD688" s="87"/>
      <c r="AE688" s="87"/>
    </row>
    <row r="689">
      <c r="B689" s="88"/>
      <c r="C689" s="88"/>
      <c r="D689" s="89"/>
      <c r="E689" s="89"/>
      <c r="AD689" s="87"/>
      <c r="AE689" s="87"/>
    </row>
    <row r="690">
      <c r="B690" s="88"/>
      <c r="C690" s="88"/>
      <c r="D690" s="89"/>
      <c r="E690" s="89"/>
      <c r="AD690" s="87"/>
      <c r="AE690" s="87"/>
    </row>
    <row r="691">
      <c r="B691" s="88"/>
      <c r="C691" s="88"/>
      <c r="D691" s="89"/>
      <c r="E691" s="89"/>
      <c r="AD691" s="87"/>
      <c r="AE691" s="87"/>
    </row>
    <row r="692">
      <c r="B692" s="88"/>
      <c r="C692" s="88"/>
      <c r="D692" s="89"/>
      <c r="E692" s="89"/>
      <c r="AD692" s="87"/>
      <c r="AE692" s="87"/>
    </row>
    <row r="693">
      <c r="B693" s="88"/>
      <c r="C693" s="88"/>
      <c r="D693" s="89"/>
      <c r="E693" s="89"/>
      <c r="AD693" s="87"/>
      <c r="AE693" s="87"/>
    </row>
    <row r="694">
      <c r="B694" s="88"/>
      <c r="C694" s="88"/>
      <c r="D694" s="89"/>
      <c r="E694" s="89"/>
      <c r="AD694" s="87"/>
      <c r="AE694" s="87"/>
    </row>
    <row r="695">
      <c r="B695" s="88"/>
      <c r="C695" s="88"/>
      <c r="D695" s="89"/>
      <c r="E695" s="89"/>
      <c r="AD695" s="87"/>
      <c r="AE695" s="87"/>
    </row>
    <row r="696">
      <c r="B696" s="88"/>
      <c r="C696" s="88"/>
      <c r="D696" s="89"/>
      <c r="E696" s="89"/>
      <c r="AD696" s="87"/>
      <c r="AE696" s="87"/>
    </row>
    <row r="697">
      <c r="B697" s="88"/>
      <c r="C697" s="88"/>
      <c r="D697" s="89"/>
      <c r="E697" s="89"/>
      <c r="AD697" s="87"/>
      <c r="AE697" s="87"/>
    </row>
    <row r="698">
      <c r="B698" s="88"/>
      <c r="C698" s="88"/>
      <c r="D698" s="89"/>
      <c r="E698" s="89"/>
      <c r="AD698" s="87"/>
      <c r="AE698" s="87"/>
    </row>
    <row r="699">
      <c r="B699" s="88"/>
      <c r="C699" s="88"/>
      <c r="D699" s="89"/>
      <c r="E699" s="89"/>
      <c r="AD699" s="87"/>
      <c r="AE699" s="87"/>
    </row>
    <row r="700">
      <c r="B700" s="88"/>
      <c r="C700" s="88"/>
      <c r="D700" s="89"/>
      <c r="E700" s="89"/>
      <c r="AD700" s="87"/>
      <c r="AE700" s="87"/>
    </row>
    <row r="701">
      <c r="B701" s="88"/>
      <c r="C701" s="88"/>
      <c r="D701" s="89"/>
      <c r="E701" s="89"/>
      <c r="AD701" s="87"/>
      <c r="AE701" s="87"/>
    </row>
    <row r="702">
      <c r="B702" s="88"/>
      <c r="C702" s="88"/>
      <c r="D702" s="89"/>
      <c r="E702" s="89"/>
      <c r="AD702" s="87"/>
      <c r="AE702" s="87"/>
    </row>
    <row r="703">
      <c r="B703" s="88"/>
      <c r="C703" s="88"/>
      <c r="D703" s="89"/>
      <c r="E703" s="89"/>
      <c r="AD703" s="87"/>
      <c r="AE703" s="87"/>
    </row>
    <row r="704">
      <c r="B704" s="88"/>
      <c r="C704" s="88"/>
      <c r="D704" s="89"/>
      <c r="E704" s="89"/>
      <c r="AD704" s="87"/>
      <c r="AE704" s="87"/>
    </row>
    <row r="705">
      <c r="B705" s="88"/>
      <c r="C705" s="88"/>
      <c r="D705" s="89"/>
      <c r="E705" s="89"/>
      <c r="AD705" s="87"/>
      <c r="AE705" s="87"/>
    </row>
    <row r="706">
      <c r="B706" s="88"/>
      <c r="C706" s="88"/>
      <c r="D706" s="89"/>
      <c r="E706" s="89"/>
      <c r="AD706" s="87"/>
      <c r="AE706" s="87"/>
    </row>
    <row r="707">
      <c r="B707" s="88"/>
      <c r="C707" s="88"/>
      <c r="D707" s="89"/>
      <c r="E707" s="89"/>
      <c r="AD707" s="87"/>
      <c r="AE707" s="87"/>
    </row>
    <row r="708">
      <c r="B708" s="88"/>
      <c r="C708" s="88"/>
      <c r="D708" s="89"/>
      <c r="E708" s="89"/>
      <c r="AD708" s="87"/>
      <c r="AE708" s="87"/>
    </row>
    <row r="709">
      <c r="B709" s="88"/>
      <c r="C709" s="88"/>
      <c r="D709" s="89"/>
      <c r="E709" s="89"/>
      <c r="AD709" s="87"/>
      <c r="AE709" s="87"/>
    </row>
    <row r="710">
      <c r="B710" s="88"/>
      <c r="C710" s="88"/>
      <c r="D710" s="89"/>
      <c r="E710" s="89"/>
      <c r="AD710" s="87"/>
      <c r="AE710" s="87"/>
    </row>
    <row r="711">
      <c r="B711" s="88"/>
      <c r="C711" s="88"/>
      <c r="D711" s="89"/>
      <c r="E711" s="89"/>
      <c r="AD711" s="87"/>
      <c r="AE711" s="87"/>
    </row>
    <row r="712">
      <c r="B712" s="88"/>
      <c r="C712" s="88"/>
      <c r="D712" s="89"/>
      <c r="E712" s="89"/>
      <c r="AD712" s="87"/>
      <c r="AE712" s="87"/>
    </row>
    <row r="713">
      <c r="B713" s="88"/>
      <c r="C713" s="88"/>
      <c r="D713" s="89"/>
      <c r="E713" s="89"/>
      <c r="AD713" s="87"/>
      <c r="AE713" s="87"/>
    </row>
    <row r="714">
      <c r="B714" s="88"/>
      <c r="C714" s="88"/>
      <c r="D714" s="89"/>
      <c r="E714" s="89"/>
      <c r="AD714" s="87"/>
      <c r="AE714" s="87"/>
    </row>
    <row r="715">
      <c r="B715" s="88"/>
      <c r="C715" s="88"/>
      <c r="D715" s="89"/>
      <c r="E715" s="89"/>
      <c r="AD715" s="87"/>
      <c r="AE715" s="87"/>
    </row>
    <row r="716">
      <c r="B716" s="88"/>
      <c r="C716" s="88"/>
      <c r="D716" s="89"/>
      <c r="E716" s="89"/>
      <c r="AD716" s="87"/>
      <c r="AE716" s="87"/>
    </row>
    <row r="717">
      <c r="B717" s="88"/>
      <c r="C717" s="88"/>
      <c r="D717" s="89"/>
      <c r="E717" s="89"/>
      <c r="AD717" s="87"/>
      <c r="AE717" s="87"/>
    </row>
    <row r="718">
      <c r="B718" s="88"/>
      <c r="C718" s="88"/>
      <c r="D718" s="89"/>
      <c r="E718" s="89"/>
      <c r="AD718" s="87"/>
      <c r="AE718" s="87"/>
    </row>
    <row r="719">
      <c r="B719" s="88"/>
      <c r="C719" s="88"/>
      <c r="D719" s="89"/>
      <c r="E719" s="89"/>
      <c r="AD719" s="87"/>
      <c r="AE719" s="87"/>
    </row>
    <row r="720">
      <c r="B720" s="88"/>
      <c r="C720" s="88"/>
      <c r="D720" s="89"/>
      <c r="E720" s="89"/>
      <c r="AD720" s="87"/>
      <c r="AE720" s="87"/>
    </row>
    <row r="721">
      <c r="B721" s="88"/>
      <c r="C721" s="88"/>
      <c r="D721" s="89"/>
      <c r="E721" s="89"/>
      <c r="AD721" s="87"/>
      <c r="AE721" s="87"/>
    </row>
    <row r="722">
      <c r="B722" s="88"/>
      <c r="C722" s="88"/>
      <c r="D722" s="89"/>
      <c r="E722" s="89"/>
      <c r="AD722" s="87"/>
      <c r="AE722" s="87"/>
    </row>
    <row r="723">
      <c r="B723" s="88"/>
      <c r="C723" s="88"/>
      <c r="D723" s="89"/>
      <c r="E723" s="89"/>
      <c r="AD723" s="87"/>
      <c r="AE723" s="87"/>
    </row>
    <row r="724">
      <c r="B724" s="88"/>
      <c r="C724" s="88"/>
      <c r="D724" s="89"/>
      <c r="E724" s="89"/>
      <c r="AD724" s="87"/>
      <c r="AE724" s="87"/>
    </row>
    <row r="725">
      <c r="B725" s="88"/>
      <c r="C725" s="88"/>
      <c r="D725" s="89"/>
      <c r="E725" s="89"/>
      <c r="AD725" s="87"/>
      <c r="AE725" s="87"/>
    </row>
    <row r="726">
      <c r="B726" s="88"/>
      <c r="C726" s="88"/>
      <c r="D726" s="89"/>
      <c r="E726" s="89"/>
      <c r="AD726" s="87"/>
      <c r="AE726" s="87"/>
    </row>
    <row r="727">
      <c r="B727" s="88"/>
      <c r="C727" s="88"/>
      <c r="D727" s="89"/>
      <c r="E727" s="89"/>
      <c r="AD727" s="87"/>
      <c r="AE727" s="87"/>
    </row>
    <row r="728">
      <c r="B728" s="88"/>
      <c r="C728" s="88"/>
      <c r="D728" s="89"/>
      <c r="E728" s="89"/>
      <c r="AD728" s="87"/>
      <c r="AE728" s="87"/>
    </row>
    <row r="729">
      <c r="B729" s="88"/>
      <c r="C729" s="88"/>
      <c r="D729" s="89"/>
      <c r="E729" s="89"/>
      <c r="AD729" s="87"/>
      <c r="AE729" s="87"/>
    </row>
    <row r="730">
      <c r="B730" s="88"/>
      <c r="C730" s="88"/>
      <c r="D730" s="89"/>
      <c r="E730" s="89"/>
      <c r="AD730" s="87"/>
      <c r="AE730" s="87"/>
    </row>
    <row r="731">
      <c r="B731" s="88"/>
      <c r="C731" s="88"/>
      <c r="D731" s="89"/>
      <c r="E731" s="89"/>
      <c r="AD731" s="87"/>
      <c r="AE731" s="87"/>
    </row>
    <row r="732">
      <c r="B732" s="88"/>
      <c r="C732" s="88"/>
      <c r="D732" s="89"/>
      <c r="E732" s="89"/>
      <c r="AD732" s="87"/>
      <c r="AE732" s="87"/>
    </row>
    <row r="733">
      <c r="B733" s="88"/>
      <c r="C733" s="88"/>
      <c r="D733" s="89"/>
      <c r="E733" s="89"/>
      <c r="AD733" s="87"/>
      <c r="AE733" s="87"/>
    </row>
    <row r="734">
      <c r="B734" s="88"/>
      <c r="C734" s="88"/>
      <c r="D734" s="89"/>
      <c r="E734" s="89"/>
      <c r="AD734" s="87"/>
      <c r="AE734" s="87"/>
    </row>
    <row r="735">
      <c r="B735" s="88"/>
      <c r="C735" s="88"/>
      <c r="D735" s="89"/>
      <c r="E735" s="89"/>
      <c r="AD735" s="87"/>
      <c r="AE735" s="87"/>
    </row>
    <row r="736">
      <c r="B736" s="88"/>
      <c r="C736" s="88"/>
      <c r="D736" s="89"/>
      <c r="E736" s="89"/>
      <c r="AD736" s="87"/>
      <c r="AE736" s="87"/>
    </row>
    <row r="737">
      <c r="B737" s="88"/>
      <c r="C737" s="88"/>
      <c r="D737" s="89"/>
      <c r="E737" s="89"/>
      <c r="AD737" s="87"/>
      <c r="AE737" s="87"/>
    </row>
    <row r="738">
      <c r="B738" s="88"/>
      <c r="C738" s="88"/>
      <c r="D738" s="89"/>
      <c r="E738" s="89"/>
      <c r="AD738" s="87"/>
      <c r="AE738" s="87"/>
    </row>
    <row r="739">
      <c r="B739" s="88"/>
      <c r="C739" s="88"/>
      <c r="D739" s="89"/>
      <c r="E739" s="89"/>
      <c r="AD739" s="87"/>
      <c r="AE739" s="87"/>
    </row>
    <row r="740">
      <c r="B740" s="88"/>
      <c r="C740" s="88"/>
      <c r="D740" s="89"/>
      <c r="E740" s="89"/>
      <c r="AD740" s="87"/>
      <c r="AE740" s="87"/>
    </row>
    <row r="741">
      <c r="B741" s="88"/>
      <c r="C741" s="88"/>
      <c r="D741" s="89"/>
      <c r="E741" s="89"/>
      <c r="AD741" s="87"/>
      <c r="AE741" s="87"/>
    </row>
    <row r="742">
      <c r="B742" s="88"/>
      <c r="C742" s="88"/>
      <c r="D742" s="89"/>
      <c r="E742" s="89"/>
      <c r="AD742" s="87"/>
      <c r="AE742" s="87"/>
    </row>
    <row r="743">
      <c r="B743" s="88"/>
      <c r="C743" s="88"/>
      <c r="D743" s="89"/>
      <c r="E743" s="89"/>
      <c r="AD743" s="87"/>
      <c r="AE743" s="87"/>
    </row>
    <row r="744">
      <c r="B744" s="88"/>
      <c r="C744" s="88"/>
      <c r="D744" s="89"/>
      <c r="E744" s="89"/>
      <c r="AD744" s="87"/>
      <c r="AE744" s="87"/>
    </row>
    <row r="745">
      <c r="B745" s="88"/>
      <c r="C745" s="88"/>
      <c r="D745" s="89"/>
      <c r="E745" s="89"/>
      <c r="AD745" s="87"/>
      <c r="AE745" s="87"/>
    </row>
    <row r="746">
      <c r="B746" s="88"/>
      <c r="C746" s="88"/>
      <c r="D746" s="89"/>
      <c r="E746" s="89"/>
      <c r="AD746" s="87"/>
      <c r="AE746" s="87"/>
    </row>
    <row r="747">
      <c r="B747" s="88"/>
      <c r="C747" s="88"/>
      <c r="D747" s="89"/>
      <c r="E747" s="89"/>
      <c r="AD747" s="87"/>
      <c r="AE747" s="87"/>
    </row>
    <row r="748">
      <c r="B748" s="88"/>
      <c r="C748" s="88"/>
      <c r="D748" s="89"/>
      <c r="E748" s="89"/>
      <c r="AD748" s="87"/>
      <c r="AE748" s="87"/>
    </row>
    <row r="749">
      <c r="B749" s="88"/>
      <c r="C749" s="88"/>
      <c r="D749" s="89"/>
      <c r="E749" s="89"/>
      <c r="AD749" s="87"/>
      <c r="AE749" s="87"/>
    </row>
    <row r="750">
      <c r="B750" s="88"/>
      <c r="C750" s="88"/>
      <c r="D750" s="89"/>
      <c r="E750" s="89"/>
      <c r="AD750" s="87"/>
      <c r="AE750" s="87"/>
    </row>
    <row r="751">
      <c r="B751" s="88"/>
      <c r="C751" s="88"/>
      <c r="D751" s="89"/>
      <c r="E751" s="89"/>
      <c r="AD751" s="87"/>
      <c r="AE751" s="87"/>
    </row>
    <row r="752">
      <c r="B752" s="88"/>
      <c r="C752" s="88"/>
      <c r="D752" s="89"/>
      <c r="E752" s="89"/>
      <c r="AD752" s="87"/>
      <c r="AE752" s="87"/>
    </row>
    <row r="753">
      <c r="B753" s="88"/>
      <c r="C753" s="88"/>
      <c r="D753" s="89"/>
      <c r="E753" s="89"/>
      <c r="AD753" s="87"/>
      <c r="AE753" s="87"/>
    </row>
    <row r="754">
      <c r="B754" s="88"/>
      <c r="C754" s="88"/>
      <c r="D754" s="89"/>
      <c r="E754" s="89"/>
      <c r="AD754" s="87"/>
      <c r="AE754" s="87"/>
    </row>
    <row r="755">
      <c r="B755" s="88"/>
      <c r="C755" s="88"/>
      <c r="D755" s="89"/>
      <c r="E755" s="89"/>
      <c r="AD755" s="87"/>
      <c r="AE755" s="87"/>
    </row>
    <row r="756">
      <c r="B756" s="88"/>
      <c r="C756" s="88"/>
      <c r="D756" s="89"/>
      <c r="E756" s="89"/>
      <c r="AD756" s="87"/>
      <c r="AE756" s="87"/>
    </row>
    <row r="757">
      <c r="B757" s="88"/>
      <c r="C757" s="88"/>
      <c r="D757" s="89"/>
      <c r="E757" s="89"/>
      <c r="AD757" s="87"/>
      <c r="AE757" s="87"/>
    </row>
    <row r="758">
      <c r="B758" s="88"/>
      <c r="C758" s="88"/>
      <c r="D758" s="89"/>
      <c r="E758" s="89"/>
      <c r="AD758" s="87"/>
      <c r="AE758" s="87"/>
    </row>
    <row r="759">
      <c r="B759" s="88"/>
      <c r="C759" s="88"/>
      <c r="D759" s="89"/>
      <c r="E759" s="89"/>
      <c r="AD759" s="87"/>
      <c r="AE759" s="87"/>
    </row>
    <row r="760">
      <c r="B760" s="88"/>
      <c r="C760" s="88"/>
      <c r="D760" s="89"/>
      <c r="E760" s="89"/>
      <c r="AD760" s="87"/>
      <c r="AE760" s="87"/>
    </row>
    <row r="761">
      <c r="B761" s="88"/>
      <c r="C761" s="88"/>
      <c r="D761" s="89"/>
      <c r="E761" s="89"/>
      <c r="AD761" s="87"/>
      <c r="AE761" s="87"/>
    </row>
    <row r="762">
      <c r="B762" s="88"/>
      <c r="C762" s="88"/>
      <c r="D762" s="89"/>
      <c r="E762" s="89"/>
      <c r="AD762" s="87"/>
      <c r="AE762" s="87"/>
    </row>
    <row r="763">
      <c r="B763" s="88"/>
      <c r="C763" s="88"/>
      <c r="D763" s="89"/>
      <c r="E763" s="89"/>
      <c r="AD763" s="87"/>
      <c r="AE763" s="87"/>
    </row>
    <row r="764">
      <c r="B764" s="88"/>
      <c r="C764" s="88"/>
      <c r="D764" s="89"/>
      <c r="E764" s="89"/>
      <c r="AD764" s="87"/>
      <c r="AE764" s="87"/>
    </row>
    <row r="765">
      <c r="B765" s="88"/>
      <c r="C765" s="88"/>
      <c r="D765" s="89"/>
      <c r="E765" s="89"/>
      <c r="AD765" s="87"/>
      <c r="AE765" s="87"/>
    </row>
    <row r="766">
      <c r="B766" s="88"/>
      <c r="C766" s="88"/>
      <c r="D766" s="89"/>
      <c r="E766" s="89"/>
      <c r="AD766" s="87"/>
      <c r="AE766" s="87"/>
    </row>
    <row r="767">
      <c r="B767" s="88"/>
      <c r="C767" s="88"/>
      <c r="D767" s="89"/>
      <c r="E767" s="89"/>
      <c r="AD767" s="87"/>
      <c r="AE767" s="87"/>
    </row>
    <row r="768">
      <c r="B768" s="88"/>
      <c r="C768" s="88"/>
      <c r="D768" s="89"/>
      <c r="E768" s="89"/>
      <c r="AD768" s="87"/>
      <c r="AE768" s="87"/>
    </row>
    <row r="769">
      <c r="B769" s="88"/>
      <c r="C769" s="88"/>
      <c r="D769" s="89"/>
      <c r="E769" s="89"/>
      <c r="AD769" s="87"/>
      <c r="AE769" s="87"/>
    </row>
    <row r="770">
      <c r="B770" s="88"/>
      <c r="C770" s="88"/>
      <c r="D770" s="89"/>
      <c r="E770" s="89"/>
      <c r="AD770" s="87"/>
      <c r="AE770" s="87"/>
    </row>
    <row r="771">
      <c r="B771" s="88"/>
      <c r="C771" s="88"/>
      <c r="D771" s="89"/>
      <c r="E771" s="89"/>
      <c r="AD771" s="87"/>
      <c r="AE771" s="87"/>
    </row>
    <row r="772">
      <c r="B772" s="88"/>
      <c r="C772" s="88"/>
      <c r="D772" s="89"/>
      <c r="E772" s="89"/>
      <c r="AD772" s="87"/>
      <c r="AE772" s="87"/>
    </row>
    <row r="773">
      <c r="B773" s="88"/>
      <c r="C773" s="88"/>
      <c r="D773" s="89"/>
      <c r="E773" s="89"/>
      <c r="AD773" s="87"/>
      <c r="AE773" s="87"/>
    </row>
    <row r="774">
      <c r="B774" s="88"/>
      <c r="C774" s="88"/>
      <c r="D774" s="89"/>
      <c r="E774" s="89"/>
      <c r="AD774" s="87"/>
      <c r="AE774" s="87"/>
    </row>
    <row r="775">
      <c r="B775" s="88"/>
      <c r="C775" s="88"/>
      <c r="D775" s="89"/>
      <c r="E775" s="89"/>
      <c r="AD775" s="87"/>
      <c r="AE775" s="87"/>
    </row>
    <row r="776">
      <c r="B776" s="88"/>
      <c r="C776" s="88"/>
      <c r="D776" s="89"/>
      <c r="E776" s="89"/>
      <c r="AD776" s="87"/>
      <c r="AE776" s="87"/>
    </row>
    <row r="777">
      <c r="B777" s="88"/>
      <c r="C777" s="88"/>
      <c r="D777" s="89"/>
      <c r="E777" s="89"/>
      <c r="AD777" s="87"/>
      <c r="AE777" s="87"/>
    </row>
    <row r="778">
      <c r="B778" s="88"/>
      <c r="C778" s="88"/>
      <c r="D778" s="89"/>
      <c r="E778" s="89"/>
      <c r="AD778" s="87"/>
      <c r="AE778" s="87"/>
    </row>
    <row r="779">
      <c r="B779" s="88"/>
      <c r="C779" s="88"/>
      <c r="D779" s="89"/>
      <c r="E779" s="89"/>
      <c r="AD779" s="87"/>
      <c r="AE779" s="87"/>
    </row>
    <row r="780">
      <c r="B780" s="88"/>
      <c r="C780" s="88"/>
      <c r="D780" s="89"/>
      <c r="E780" s="89"/>
      <c r="AD780" s="87"/>
      <c r="AE780" s="87"/>
    </row>
    <row r="781">
      <c r="B781" s="88"/>
      <c r="C781" s="88"/>
      <c r="D781" s="89"/>
      <c r="E781" s="89"/>
      <c r="AD781" s="87"/>
      <c r="AE781" s="87"/>
    </row>
    <row r="782">
      <c r="B782" s="88"/>
      <c r="C782" s="88"/>
      <c r="D782" s="89"/>
      <c r="E782" s="89"/>
      <c r="AD782" s="87"/>
      <c r="AE782" s="87"/>
    </row>
    <row r="783">
      <c r="B783" s="88"/>
      <c r="C783" s="88"/>
      <c r="D783" s="89"/>
      <c r="E783" s="89"/>
      <c r="AD783" s="87"/>
      <c r="AE783" s="87"/>
    </row>
    <row r="784">
      <c r="B784" s="88"/>
      <c r="C784" s="88"/>
      <c r="D784" s="89"/>
      <c r="E784" s="89"/>
      <c r="AD784" s="87"/>
      <c r="AE784" s="87"/>
    </row>
    <row r="785">
      <c r="B785" s="88"/>
      <c r="C785" s="88"/>
      <c r="D785" s="89"/>
      <c r="E785" s="89"/>
      <c r="AD785" s="87"/>
      <c r="AE785" s="87"/>
    </row>
    <row r="786">
      <c r="B786" s="88"/>
      <c r="C786" s="88"/>
      <c r="D786" s="89"/>
      <c r="E786" s="89"/>
      <c r="AD786" s="87"/>
      <c r="AE786" s="87"/>
    </row>
    <row r="787">
      <c r="B787" s="88"/>
      <c r="C787" s="88"/>
      <c r="D787" s="89"/>
      <c r="E787" s="89"/>
      <c r="AD787" s="87"/>
      <c r="AE787" s="87"/>
    </row>
    <row r="788">
      <c r="B788" s="88"/>
      <c r="C788" s="88"/>
      <c r="D788" s="89"/>
      <c r="E788" s="89"/>
      <c r="AD788" s="87"/>
      <c r="AE788" s="87"/>
    </row>
    <row r="789">
      <c r="B789" s="88"/>
      <c r="C789" s="88"/>
      <c r="D789" s="89"/>
      <c r="E789" s="89"/>
      <c r="AD789" s="87"/>
      <c r="AE789" s="87"/>
    </row>
    <row r="790">
      <c r="B790" s="88"/>
      <c r="C790" s="88"/>
      <c r="D790" s="89"/>
      <c r="E790" s="89"/>
      <c r="AD790" s="87"/>
      <c r="AE790" s="87"/>
    </row>
    <row r="791">
      <c r="B791" s="88"/>
      <c r="C791" s="88"/>
      <c r="D791" s="89"/>
      <c r="E791" s="89"/>
      <c r="AD791" s="87"/>
      <c r="AE791" s="87"/>
    </row>
    <row r="792">
      <c r="B792" s="88"/>
      <c r="C792" s="88"/>
      <c r="D792" s="89"/>
      <c r="E792" s="89"/>
      <c r="AD792" s="87"/>
      <c r="AE792" s="87"/>
    </row>
    <row r="793">
      <c r="B793" s="88"/>
      <c r="C793" s="88"/>
      <c r="D793" s="89"/>
      <c r="E793" s="89"/>
      <c r="AD793" s="87"/>
      <c r="AE793" s="87"/>
    </row>
    <row r="794">
      <c r="B794" s="88"/>
      <c r="C794" s="88"/>
      <c r="D794" s="89"/>
      <c r="E794" s="89"/>
      <c r="AD794" s="87"/>
      <c r="AE794" s="87"/>
    </row>
    <row r="795">
      <c r="B795" s="88"/>
      <c r="C795" s="88"/>
      <c r="D795" s="89"/>
      <c r="E795" s="89"/>
      <c r="AD795" s="87"/>
      <c r="AE795" s="87"/>
    </row>
    <row r="796">
      <c r="B796" s="88"/>
      <c r="C796" s="88"/>
      <c r="D796" s="89"/>
      <c r="E796" s="89"/>
      <c r="AD796" s="87"/>
      <c r="AE796" s="87"/>
    </row>
    <row r="797">
      <c r="B797" s="88"/>
      <c r="C797" s="88"/>
      <c r="D797" s="89"/>
      <c r="E797" s="89"/>
      <c r="AD797" s="87"/>
      <c r="AE797" s="87"/>
    </row>
    <row r="798">
      <c r="B798" s="88"/>
      <c r="C798" s="88"/>
      <c r="D798" s="89"/>
      <c r="E798" s="89"/>
      <c r="AD798" s="87"/>
      <c r="AE798" s="87"/>
    </row>
    <row r="799">
      <c r="B799" s="88"/>
      <c r="C799" s="88"/>
      <c r="D799" s="89"/>
      <c r="E799" s="89"/>
      <c r="AD799" s="87"/>
      <c r="AE799" s="87"/>
    </row>
    <row r="800">
      <c r="B800" s="88"/>
      <c r="C800" s="88"/>
      <c r="D800" s="89"/>
      <c r="E800" s="89"/>
      <c r="AD800" s="87"/>
      <c r="AE800" s="87"/>
    </row>
    <row r="801">
      <c r="B801" s="88"/>
      <c r="C801" s="88"/>
      <c r="D801" s="89"/>
      <c r="E801" s="89"/>
      <c r="AD801" s="87"/>
      <c r="AE801" s="87"/>
    </row>
    <row r="802">
      <c r="B802" s="88"/>
      <c r="C802" s="88"/>
      <c r="D802" s="89"/>
      <c r="E802" s="89"/>
      <c r="AD802" s="87"/>
      <c r="AE802" s="87"/>
    </row>
    <row r="803">
      <c r="B803" s="88"/>
      <c r="C803" s="88"/>
      <c r="D803" s="89"/>
      <c r="E803" s="89"/>
      <c r="AD803" s="87"/>
      <c r="AE803" s="87"/>
    </row>
    <row r="804">
      <c r="B804" s="88"/>
      <c r="C804" s="88"/>
      <c r="D804" s="89"/>
      <c r="E804" s="89"/>
      <c r="AD804" s="87"/>
      <c r="AE804" s="87"/>
    </row>
    <row r="805">
      <c r="B805" s="88"/>
      <c r="C805" s="88"/>
      <c r="D805" s="89"/>
      <c r="E805" s="89"/>
      <c r="AD805" s="87"/>
      <c r="AE805" s="87"/>
    </row>
    <row r="806">
      <c r="B806" s="88"/>
      <c r="C806" s="88"/>
      <c r="D806" s="89"/>
      <c r="E806" s="89"/>
      <c r="AD806" s="87"/>
      <c r="AE806" s="87"/>
    </row>
    <row r="807">
      <c r="B807" s="88"/>
      <c r="C807" s="88"/>
      <c r="D807" s="89"/>
      <c r="E807" s="89"/>
      <c r="AD807" s="87"/>
      <c r="AE807" s="87"/>
    </row>
    <row r="808">
      <c r="B808" s="88"/>
      <c r="C808" s="88"/>
      <c r="D808" s="89"/>
      <c r="E808" s="89"/>
      <c r="AD808" s="87"/>
      <c r="AE808" s="87"/>
    </row>
    <row r="809">
      <c r="B809" s="88"/>
      <c r="C809" s="88"/>
      <c r="D809" s="89"/>
      <c r="E809" s="89"/>
      <c r="AD809" s="87"/>
      <c r="AE809" s="87"/>
    </row>
    <row r="810">
      <c r="B810" s="88"/>
      <c r="C810" s="88"/>
      <c r="D810" s="89"/>
      <c r="E810" s="89"/>
      <c r="AD810" s="87"/>
      <c r="AE810" s="87"/>
    </row>
    <row r="811">
      <c r="B811" s="88"/>
      <c r="C811" s="88"/>
      <c r="D811" s="89"/>
      <c r="E811" s="89"/>
      <c r="AD811" s="87"/>
      <c r="AE811" s="87"/>
    </row>
    <row r="812">
      <c r="B812" s="88"/>
      <c r="C812" s="88"/>
      <c r="D812" s="89"/>
      <c r="E812" s="89"/>
      <c r="AD812" s="87"/>
      <c r="AE812" s="87"/>
    </row>
    <row r="813">
      <c r="B813" s="88"/>
      <c r="C813" s="88"/>
      <c r="D813" s="89"/>
      <c r="E813" s="89"/>
      <c r="AD813" s="87"/>
      <c r="AE813" s="87"/>
    </row>
    <row r="814">
      <c r="B814" s="88"/>
      <c r="C814" s="88"/>
      <c r="D814" s="89"/>
      <c r="E814" s="89"/>
      <c r="AD814" s="87"/>
      <c r="AE814" s="87"/>
    </row>
    <row r="815">
      <c r="B815" s="88"/>
      <c r="C815" s="88"/>
      <c r="D815" s="89"/>
      <c r="E815" s="89"/>
      <c r="AD815" s="87"/>
      <c r="AE815" s="87"/>
    </row>
    <row r="816">
      <c r="B816" s="88"/>
      <c r="C816" s="88"/>
      <c r="D816" s="89"/>
      <c r="E816" s="89"/>
      <c r="AD816" s="87"/>
      <c r="AE816" s="87"/>
    </row>
    <row r="817">
      <c r="B817" s="88"/>
      <c r="C817" s="88"/>
      <c r="D817" s="89"/>
      <c r="E817" s="89"/>
      <c r="AD817" s="87"/>
      <c r="AE817" s="87"/>
    </row>
    <row r="818">
      <c r="B818" s="88"/>
      <c r="C818" s="88"/>
      <c r="D818" s="89"/>
      <c r="E818" s="89"/>
      <c r="AD818" s="87"/>
      <c r="AE818" s="87"/>
    </row>
    <row r="819">
      <c r="B819" s="88"/>
      <c r="C819" s="88"/>
      <c r="D819" s="89"/>
      <c r="E819" s="89"/>
      <c r="AD819" s="87"/>
      <c r="AE819" s="87"/>
    </row>
    <row r="820">
      <c r="B820" s="88"/>
      <c r="C820" s="88"/>
      <c r="D820" s="89"/>
      <c r="E820" s="89"/>
      <c r="AD820" s="87"/>
      <c r="AE820" s="87"/>
    </row>
    <row r="821">
      <c r="B821" s="88"/>
      <c r="C821" s="88"/>
      <c r="D821" s="89"/>
      <c r="E821" s="89"/>
      <c r="AD821" s="87"/>
      <c r="AE821" s="87"/>
    </row>
    <row r="822">
      <c r="B822" s="88"/>
      <c r="C822" s="88"/>
      <c r="D822" s="89"/>
      <c r="E822" s="89"/>
      <c r="AD822" s="87"/>
      <c r="AE822" s="87"/>
    </row>
    <row r="823">
      <c r="B823" s="88"/>
      <c r="C823" s="88"/>
      <c r="D823" s="89"/>
      <c r="E823" s="89"/>
      <c r="AD823" s="87"/>
      <c r="AE823" s="87"/>
    </row>
    <row r="824">
      <c r="B824" s="88"/>
      <c r="C824" s="88"/>
      <c r="D824" s="89"/>
      <c r="E824" s="89"/>
      <c r="AD824" s="87"/>
      <c r="AE824" s="87"/>
    </row>
    <row r="825">
      <c r="B825" s="88"/>
      <c r="C825" s="88"/>
      <c r="D825" s="89"/>
      <c r="E825" s="89"/>
      <c r="AD825" s="87"/>
      <c r="AE825" s="87"/>
    </row>
    <row r="826">
      <c r="B826" s="88"/>
      <c r="C826" s="88"/>
      <c r="D826" s="89"/>
      <c r="E826" s="89"/>
      <c r="AD826" s="87"/>
      <c r="AE826" s="87"/>
    </row>
    <row r="827">
      <c r="B827" s="88"/>
      <c r="C827" s="88"/>
      <c r="D827" s="89"/>
      <c r="E827" s="89"/>
      <c r="AD827" s="87"/>
      <c r="AE827" s="87"/>
    </row>
    <row r="828">
      <c r="B828" s="88"/>
      <c r="C828" s="88"/>
      <c r="D828" s="89"/>
      <c r="E828" s="89"/>
      <c r="AD828" s="87"/>
      <c r="AE828" s="87"/>
    </row>
    <row r="829">
      <c r="B829" s="88"/>
      <c r="C829" s="88"/>
      <c r="D829" s="89"/>
      <c r="E829" s="89"/>
      <c r="AD829" s="87"/>
      <c r="AE829" s="87"/>
    </row>
    <row r="830">
      <c r="B830" s="88"/>
      <c r="C830" s="88"/>
      <c r="D830" s="89"/>
      <c r="E830" s="89"/>
      <c r="AD830" s="87"/>
      <c r="AE830" s="87"/>
    </row>
    <row r="831">
      <c r="B831" s="88"/>
      <c r="C831" s="88"/>
      <c r="D831" s="89"/>
      <c r="E831" s="89"/>
      <c r="AD831" s="87"/>
      <c r="AE831" s="87"/>
    </row>
    <row r="832">
      <c r="B832" s="88"/>
      <c r="C832" s="88"/>
      <c r="D832" s="89"/>
      <c r="E832" s="89"/>
      <c r="AD832" s="87"/>
      <c r="AE832" s="87"/>
    </row>
    <row r="833">
      <c r="B833" s="88"/>
      <c r="C833" s="88"/>
      <c r="D833" s="89"/>
      <c r="E833" s="89"/>
      <c r="AD833" s="87"/>
      <c r="AE833" s="87"/>
    </row>
    <row r="834">
      <c r="B834" s="88"/>
      <c r="C834" s="88"/>
      <c r="D834" s="89"/>
      <c r="E834" s="89"/>
      <c r="AD834" s="87"/>
      <c r="AE834" s="87"/>
    </row>
    <row r="835">
      <c r="B835" s="88"/>
      <c r="C835" s="88"/>
      <c r="D835" s="89"/>
      <c r="E835" s="89"/>
      <c r="AD835" s="87"/>
      <c r="AE835" s="87"/>
    </row>
    <row r="836">
      <c r="B836" s="88"/>
      <c r="C836" s="88"/>
      <c r="D836" s="89"/>
      <c r="E836" s="89"/>
      <c r="AD836" s="87"/>
      <c r="AE836" s="87"/>
    </row>
    <row r="837">
      <c r="B837" s="88"/>
      <c r="C837" s="88"/>
      <c r="D837" s="89"/>
      <c r="E837" s="89"/>
      <c r="AD837" s="87"/>
      <c r="AE837" s="87"/>
    </row>
    <row r="838">
      <c r="B838" s="88"/>
      <c r="C838" s="88"/>
      <c r="D838" s="89"/>
      <c r="E838" s="89"/>
      <c r="AD838" s="87"/>
      <c r="AE838" s="87"/>
    </row>
    <row r="839">
      <c r="B839" s="88"/>
      <c r="C839" s="88"/>
      <c r="D839" s="89"/>
      <c r="E839" s="89"/>
      <c r="AD839" s="87"/>
      <c r="AE839" s="87"/>
    </row>
    <row r="840">
      <c r="B840" s="88"/>
      <c r="C840" s="88"/>
      <c r="D840" s="89"/>
      <c r="E840" s="89"/>
      <c r="AD840" s="87"/>
      <c r="AE840" s="87"/>
    </row>
    <row r="841">
      <c r="B841" s="88"/>
      <c r="C841" s="88"/>
      <c r="D841" s="89"/>
      <c r="E841" s="89"/>
      <c r="AD841" s="87"/>
      <c r="AE841" s="87"/>
    </row>
    <row r="842">
      <c r="B842" s="88"/>
      <c r="C842" s="88"/>
      <c r="D842" s="89"/>
      <c r="E842" s="89"/>
      <c r="AD842" s="87"/>
      <c r="AE842" s="87"/>
    </row>
    <row r="843">
      <c r="B843" s="88"/>
      <c r="C843" s="88"/>
      <c r="D843" s="89"/>
      <c r="E843" s="89"/>
      <c r="AD843" s="87"/>
      <c r="AE843" s="87"/>
    </row>
    <row r="844">
      <c r="B844" s="88"/>
      <c r="C844" s="88"/>
      <c r="D844" s="89"/>
      <c r="E844" s="89"/>
      <c r="AD844" s="87"/>
      <c r="AE844" s="87"/>
    </row>
    <row r="845">
      <c r="B845" s="88"/>
      <c r="C845" s="88"/>
      <c r="D845" s="89"/>
      <c r="E845" s="89"/>
      <c r="AD845" s="87"/>
      <c r="AE845" s="87"/>
    </row>
    <row r="846">
      <c r="B846" s="88"/>
      <c r="C846" s="88"/>
      <c r="D846" s="89"/>
      <c r="E846" s="89"/>
      <c r="AD846" s="87"/>
      <c r="AE846" s="87"/>
    </row>
    <row r="847">
      <c r="B847" s="88"/>
      <c r="C847" s="88"/>
      <c r="D847" s="89"/>
      <c r="E847" s="89"/>
      <c r="AD847" s="87"/>
      <c r="AE847" s="87"/>
    </row>
    <row r="848">
      <c r="B848" s="88"/>
      <c r="C848" s="88"/>
      <c r="D848" s="89"/>
      <c r="E848" s="89"/>
      <c r="AD848" s="87"/>
      <c r="AE848" s="87"/>
    </row>
    <row r="849">
      <c r="B849" s="88"/>
      <c r="C849" s="88"/>
      <c r="D849" s="89"/>
      <c r="E849" s="89"/>
      <c r="AD849" s="87"/>
      <c r="AE849" s="87"/>
    </row>
    <row r="850">
      <c r="B850" s="88"/>
      <c r="C850" s="88"/>
      <c r="D850" s="89"/>
      <c r="E850" s="89"/>
      <c r="AD850" s="87"/>
      <c r="AE850" s="87"/>
    </row>
    <row r="851">
      <c r="B851" s="88"/>
      <c r="C851" s="88"/>
      <c r="D851" s="89"/>
      <c r="E851" s="89"/>
      <c r="AD851" s="87"/>
      <c r="AE851" s="87"/>
    </row>
    <row r="852">
      <c r="B852" s="88"/>
      <c r="C852" s="88"/>
      <c r="D852" s="89"/>
      <c r="E852" s="89"/>
      <c r="AD852" s="87"/>
      <c r="AE852" s="87"/>
    </row>
    <row r="853">
      <c r="B853" s="88"/>
      <c r="C853" s="88"/>
      <c r="D853" s="89"/>
      <c r="E853" s="89"/>
      <c r="AD853" s="87"/>
      <c r="AE853" s="87"/>
    </row>
    <row r="854">
      <c r="B854" s="88"/>
      <c r="C854" s="88"/>
      <c r="D854" s="89"/>
      <c r="E854" s="89"/>
      <c r="AD854" s="87"/>
      <c r="AE854" s="87"/>
    </row>
    <row r="855">
      <c r="B855" s="88"/>
      <c r="C855" s="88"/>
      <c r="D855" s="89"/>
      <c r="E855" s="89"/>
      <c r="AD855" s="87"/>
      <c r="AE855" s="87"/>
    </row>
    <row r="856">
      <c r="B856" s="88"/>
      <c r="C856" s="88"/>
      <c r="D856" s="89"/>
      <c r="E856" s="89"/>
      <c r="AD856" s="87"/>
      <c r="AE856" s="87"/>
    </row>
    <row r="857">
      <c r="B857" s="88"/>
      <c r="C857" s="88"/>
      <c r="D857" s="89"/>
      <c r="E857" s="89"/>
      <c r="AD857" s="87"/>
      <c r="AE857" s="87"/>
    </row>
    <row r="858">
      <c r="B858" s="88"/>
      <c r="C858" s="88"/>
      <c r="D858" s="89"/>
      <c r="E858" s="89"/>
      <c r="AD858" s="87"/>
      <c r="AE858" s="87"/>
    </row>
    <row r="859">
      <c r="B859" s="88"/>
      <c r="C859" s="88"/>
      <c r="D859" s="89"/>
      <c r="E859" s="89"/>
      <c r="AD859" s="87"/>
      <c r="AE859" s="87"/>
    </row>
    <row r="860">
      <c r="B860" s="88"/>
      <c r="C860" s="88"/>
      <c r="D860" s="89"/>
      <c r="E860" s="89"/>
      <c r="AD860" s="87"/>
      <c r="AE860" s="87"/>
    </row>
    <row r="861">
      <c r="B861" s="88"/>
      <c r="C861" s="88"/>
      <c r="D861" s="89"/>
      <c r="E861" s="89"/>
      <c r="AD861" s="87"/>
      <c r="AE861" s="87"/>
    </row>
    <row r="862">
      <c r="B862" s="88"/>
      <c r="C862" s="88"/>
      <c r="D862" s="89"/>
      <c r="E862" s="89"/>
      <c r="AD862" s="87"/>
      <c r="AE862" s="87"/>
    </row>
    <row r="863">
      <c r="B863" s="88"/>
      <c r="C863" s="88"/>
      <c r="D863" s="89"/>
      <c r="E863" s="89"/>
      <c r="AD863" s="87"/>
      <c r="AE863" s="87"/>
    </row>
    <row r="864">
      <c r="B864" s="88"/>
      <c r="C864" s="88"/>
      <c r="D864" s="89"/>
      <c r="E864" s="89"/>
      <c r="AD864" s="87"/>
      <c r="AE864" s="87"/>
    </row>
    <row r="865">
      <c r="B865" s="88"/>
      <c r="C865" s="88"/>
      <c r="D865" s="89"/>
      <c r="E865" s="89"/>
      <c r="AD865" s="87"/>
      <c r="AE865" s="87"/>
    </row>
    <row r="866">
      <c r="B866" s="88"/>
      <c r="C866" s="88"/>
      <c r="D866" s="89"/>
      <c r="E866" s="89"/>
      <c r="AD866" s="87"/>
      <c r="AE866" s="87"/>
    </row>
    <row r="867">
      <c r="B867" s="88"/>
      <c r="C867" s="88"/>
      <c r="D867" s="89"/>
      <c r="E867" s="89"/>
      <c r="AD867" s="87"/>
      <c r="AE867" s="87"/>
    </row>
    <row r="868">
      <c r="B868" s="88"/>
      <c r="C868" s="88"/>
      <c r="D868" s="89"/>
      <c r="E868" s="89"/>
      <c r="AD868" s="87"/>
      <c r="AE868" s="87"/>
    </row>
    <row r="869">
      <c r="B869" s="88"/>
      <c r="C869" s="88"/>
      <c r="D869" s="89"/>
      <c r="E869" s="89"/>
      <c r="AD869" s="87"/>
      <c r="AE869" s="87"/>
    </row>
    <row r="870">
      <c r="B870" s="88"/>
      <c r="C870" s="88"/>
      <c r="D870" s="89"/>
      <c r="E870" s="89"/>
      <c r="AD870" s="87"/>
      <c r="AE870" s="87"/>
    </row>
    <row r="871">
      <c r="B871" s="88"/>
      <c r="C871" s="88"/>
      <c r="D871" s="89"/>
      <c r="E871" s="89"/>
      <c r="AD871" s="87"/>
      <c r="AE871" s="87"/>
    </row>
    <row r="872">
      <c r="B872" s="88"/>
      <c r="C872" s="88"/>
      <c r="D872" s="89"/>
      <c r="E872" s="89"/>
      <c r="AD872" s="87"/>
      <c r="AE872" s="87"/>
    </row>
    <row r="873">
      <c r="B873" s="88"/>
      <c r="C873" s="88"/>
      <c r="D873" s="89"/>
      <c r="E873" s="89"/>
      <c r="AD873" s="87"/>
      <c r="AE873" s="87"/>
    </row>
    <row r="874">
      <c r="B874" s="88"/>
      <c r="C874" s="88"/>
      <c r="D874" s="89"/>
      <c r="E874" s="89"/>
      <c r="AD874" s="87"/>
      <c r="AE874" s="87"/>
    </row>
    <row r="875">
      <c r="B875" s="88"/>
      <c r="C875" s="88"/>
      <c r="D875" s="89"/>
      <c r="E875" s="89"/>
      <c r="AD875" s="87"/>
      <c r="AE875" s="87"/>
    </row>
    <row r="876">
      <c r="B876" s="88"/>
      <c r="C876" s="88"/>
      <c r="D876" s="89"/>
      <c r="E876" s="89"/>
      <c r="AD876" s="87"/>
      <c r="AE876" s="87"/>
    </row>
    <row r="877">
      <c r="B877" s="88"/>
      <c r="C877" s="88"/>
      <c r="D877" s="89"/>
      <c r="E877" s="89"/>
      <c r="AD877" s="87"/>
      <c r="AE877" s="87"/>
    </row>
    <row r="878">
      <c r="B878" s="88"/>
      <c r="C878" s="88"/>
      <c r="D878" s="89"/>
      <c r="E878" s="89"/>
      <c r="AD878" s="87"/>
      <c r="AE878" s="87"/>
    </row>
    <row r="879">
      <c r="B879" s="88"/>
      <c r="C879" s="88"/>
      <c r="D879" s="89"/>
      <c r="E879" s="89"/>
      <c r="AD879" s="87"/>
      <c r="AE879" s="87"/>
    </row>
    <row r="880">
      <c r="B880" s="88"/>
      <c r="C880" s="88"/>
      <c r="D880" s="89"/>
      <c r="E880" s="89"/>
      <c r="AD880" s="87"/>
      <c r="AE880" s="87"/>
    </row>
    <row r="881">
      <c r="B881" s="88"/>
      <c r="C881" s="88"/>
      <c r="D881" s="89"/>
      <c r="E881" s="89"/>
      <c r="AD881" s="87"/>
      <c r="AE881" s="87"/>
    </row>
    <row r="882">
      <c r="B882" s="88"/>
      <c r="C882" s="88"/>
      <c r="D882" s="89"/>
      <c r="E882" s="89"/>
      <c r="AD882" s="87"/>
      <c r="AE882" s="87"/>
    </row>
    <row r="883">
      <c r="B883" s="88"/>
      <c r="C883" s="88"/>
      <c r="D883" s="89"/>
      <c r="E883" s="89"/>
      <c r="AD883" s="87"/>
      <c r="AE883" s="87"/>
    </row>
    <row r="884">
      <c r="B884" s="88"/>
      <c r="C884" s="88"/>
      <c r="D884" s="89"/>
      <c r="E884" s="89"/>
      <c r="AD884" s="87"/>
      <c r="AE884" s="87"/>
    </row>
    <row r="885">
      <c r="B885" s="88"/>
      <c r="C885" s="88"/>
      <c r="D885" s="89"/>
      <c r="E885" s="89"/>
      <c r="AD885" s="87"/>
      <c r="AE885" s="87"/>
    </row>
    <row r="886">
      <c r="B886" s="88"/>
      <c r="C886" s="88"/>
      <c r="D886" s="89"/>
      <c r="E886" s="89"/>
      <c r="AD886" s="87"/>
      <c r="AE886" s="87"/>
    </row>
    <row r="887">
      <c r="B887" s="88"/>
      <c r="C887" s="88"/>
      <c r="D887" s="89"/>
      <c r="E887" s="89"/>
      <c r="AD887" s="87"/>
      <c r="AE887" s="87"/>
    </row>
    <row r="888">
      <c r="B888" s="88"/>
      <c r="C888" s="88"/>
      <c r="D888" s="89"/>
      <c r="E888" s="89"/>
      <c r="AD888" s="87"/>
      <c r="AE888" s="87"/>
    </row>
    <row r="889">
      <c r="B889" s="88"/>
      <c r="C889" s="88"/>
      <c r="D889" s="89"/>
      <c r="E889" s="89"/>
      <c r="AD889" s="87"/>
      <c r="AE889" s="87"/>
    </row>
    <row r="890">
      <c r="B890" s="88"/>
      <c r="C890" s="88"/>
      <c r="D890" s="89"/>
      <c r="E890" s="89"/>
      <c r="AD890" s="87"/>
      <c r="AE890" s="87"/>
    </row>
    <row r="891">
      <c r="B891" s="88"/>
      <c r="C891" s="88"/>
      <c r="D891" s="89"/>
      <c r="E891" s="89"/>
      <c r="AD891" s="87"/>
      <c r="AE891" s="87"/>
    </row>
    <row r="892">
      <c r="B892" s="88"/>
      <c r="C892" s="88"/>
      <c r="D892" s="89"/>
      <c r="E892" s="89"/>
      <c r="AD892" s="87"/>
      <c r="AE892" s="87"/>
    </row>
    <row r="893">
      <c r="B893" s="88"/>
      <c r="C893" s="88"/>
      <c r="D893" s="89"/>
      <c r="E893" s="89"/>
      <c r="AD893" s="87"/>
      <c r="AE893" s="87"/>
    </row>
    <row r="894">
      <c r="B894" s="88"/>
      <c r="C894" s="88"/>
      <c r="D894" s="89"/>
      <c r="E894" s="89"/>
      <c r="AD894" s="87"/>
      <c r="AE894" s="87"/>
    </row>
    <row r="895">
      <c r="B895" s="88"/>
      <c r="C895" s="88"/>
      <c r="D895" s="89"/>
      <c r="E895" s="89"/>
      <c r="AD895" s="87"/>
      <c r="AE895" s="87"/>
    </row>
    <row r="896">
      <c r="B896" s="88"/>
      <c r="C896" s="88"/>
      <c r="D896" s="89"/>
      <c r="E896" s="89"/>
      <c r="AD896" s="87"/>
      <c r="AE896" s="87"/>
    </row>
    <row r="897">
      <c r="B897" s="88"/>
      <c r="C897" s="88"/>
      <c r="D897" s="89"/>
      <c r="E897" s="89"/>
      <c r="AD897" s="87"/>
      <c r="AE897" s="87"/>
    </row>
    <row r="898">
      <c r="B898" s="88"/>
      <c r="C898" s="88"/>
      <c r="D898" s="89"/>
      <c r="E898" s="89"/>
      <c r="AD898" s="87"/>
      <c r="AE898" s="87"/>
    </row>
    <row r="899">
      <c r="B899" s="88"/>
      <c r="C899" s="88"/>
      <c r="D899" s="89"/>
      <c r="E899" s="89"/>
      <c r="AD899" s="87"/>
      <c r="AE899" s="87"/>
    </row>
    <row r="900">
      <c r="B900" s="88"/>
      <c r="C900" s="88"/>
      <c r="D900" s="89"/>
      <c r="E900" s="89"/>
      <c r="AD900" s="87"/>
      <c r="AE900" s="87"/>
    </row>
    <row r="901">
      <c r="B901" s="88"/>
      <c r="C901" s="88"/>
      <c r="D901" s="89"/>
      <c r="E901" s="89"/>
      <c r="AD901" s="87"/>
      <c r="AE901" s="87"/>
    </row>
    <row r="902">
      <c r="B902" s="88"/>
      <c r="C902" s="88"/>
      <c r="D902" s="89"/>
      <c r="E902" s="89"/>
      <c r="AD902" s="87"/>
      <c r="AE902" s="87"/>
    </row>
    <row r="903">
      <c r="B903" s="88"/>
      <c r="C903" s="88"/>
      <c r="D903" s="89"/>
      <c r="E903" s="89"/>
      <c r="AD903" s="87"/>
      <c r="AE903" s="87"/>
    </row>
    <row r="904">
      <c r="B904" s="88"/>
      <c r="C904" s="88"/>
      <c r="D904" s="89"/>
      <c r="E904" s="89"/>
      <c r="AD904" s="87"/>
      <c r="AE904" s="87"/>
    </row>
    <row r="905">
      <c r="B905" s="88"/>
      <c r="C905" s="88"/>
      <c r="D905" s="89"/>
      <c r="E905" s="89"/>
      <c r="AD905" s="87"/>
      <c r="AE905" s="87"/>
    </row>
    <row r="906">
      <c r="B906" s="88"/>
      <c r="C906" s="88"/>
      <c r="D906" s="89"/>
      <c r="E906" s="89"/>
      <c r="AD906" s="87"/>
      <c r="AE906" s="87"/>
    </row>
    <row r="907">
      <c r="B907" s="88"/>
      <c r="C907" s="88"/>
      <c r="D907" s="89"/>
      <c r="E907" s="89"/>
      <c r="AD907" s="87"/>
      <c r="AE907" s="87"/>
    </row>
    <row r="908">
      <c r="B908" s="88"/>
      <c r="C908" s="88"/>
      <c r="D908" s="89"/>
      <c r="E908" s="89"/>
      <c r="AD908" s="87"/>
      <c r="AE908" s="87"/>
    </row>
    <row r="909">
      <c r="B909" s="88"/>
      <c r="C909" s="88"/>
      <c r="D909" s="89"/>
      <c r="E909" s="89"/>
      <c r="AD909" s="87"/>
      <c r="AE909" s="87"/>
    </row>
    <row r="910">
      <c r="B910" s="88"/>
      <c r="C910" s="88"/>
      <c r="D910" s="89"/>
      <c r="E910" s="89"/>
      <c r="AD910" s="87"/>
      <c r="AE910" s="87"/>
    </row>
    <row r="911">
      <c r="B911" s="88"/>
      <c r="C911" s="88"/>
      <c r="D911" s="89"/>
      <c r="E911" s="89"/>
      <c r="AD911" s="87"/>
      <c r="AE911" s="87"/>
    </row>
    <row r="912">
      <c r="B912" s="88"/>
      <c r="C912" s="88"/>
      <c r="D912" s="89"/>
      <c r="E912" s="89"/>
      <c r="AD912" s="87"/>
      <c r="AE912" s="87"/>
    </row>
    <row r="913">
      <c r="B913" s="88"/>
      <c r="C913" s="88"/>
      <c r="D913" s="89"/>
      <c r="E913" s="89"/>
      <c r="AD913" s="87"/>
      <c r="AE913" s="87"/>
    </row>
    <row r="914">
      <c r="B914" s="88"/>
      <c r="C914" s="88"/>
      <c r="D914" s="89"/>
      <c r="E914" s="89"/>
      <c r="AD914" s="87"/>
      <c r="AE914" s="87"/>
    </row>
    <row r="915">
      <c r="B915" s="88"/>
      <c r="C915" s="88"/>
      <c r="D915" s="89"/>
      <c r="E915" s="89"/>
      <c r="AD915" s="87"/>
      <c r="AE915" s="87"/>
    </row>
    <row r="916">
      <c r="B916" s="88"/>
      <c r="C916" s="88"/>
      <c r="D916" s="89"/>
      <c r="E916" s="89"/>
      <c r="AD916" s="87"/>
      <c r="AE916" s="87"/>
    </row>
    <row r="917">
      <c r="B917" s="88"/>
      <c r="C917" s="88"/>
      <c r="D917" s="89"/>
      <c r="E917" s="89"/>
      <c r="AD917" s="87"/>
      <c r="AE917" s="87"/>
    </row>
    <row r="918">
      <c r="B918" s="88"/>
      <c r="C918" s="88"/>
      <c r="D918" s="89"/>
      <c r="E918" s="89"/>
      <c r="AD918" s="87"/>
      <c r="AE918" s="87"/>
    </row>
    <row r="919">
      <c r="B919" s="88"/>
      <c r="C919" s="88"/>
      <c r="D919" s="89"/>
      <c r="E919" s="89"/>
      <c r="AD919" s="87"/>
      <c r="AE919" s="87"/>
    </row>
    <row r="920">
      <c r="B920" s="88"/>
      <c r="C920" s="88"/>
      <c r="D920" s="89"/>
      <c r="E920" s="89"/>
      <c r="AD920" s="87"/>
      <c r="AE920" s="87"/>
    </row>
    <row r="921">
      <c r="B921" s="88"/>
      <c r="C921" s="88"/>
      <c r="D921" s="89"/>
      <c r="E921" s="89"/>
      <c r="AD921" s="87"/>
      <c r="AE921" s="87"/>
    </row>
    <row r="922">
      <c r="B922" s="88"/>
      <c r="C922" s="88"/>
      <c r="D922" s="89"/>
      <c r="E922" s="89"/>
      <c r="AD922" s="87"/>
      <c r="AE922" s="87"/>
    </row>
    <row r="923">
      <c r="B923" s="88"/>
      <c r="C923" s="88"/>
      <c r="D923" s="89"/>
      <c r="E923" s="89"/>
      <c r="AD923" s="87"/>
      <c r="AE923" s="87"/>
    </row>
    <row r="924">
      <c r="B924" s="88"/>
      <c r="C924" s="88"/>
      <c r="D924" s="89"/>
      <c r="E924" s="89"/>
      <c r="AD924" s="87"/>
      <c r="AE924" s="87"/>
    </row>
    <row r="925">
      <c r="B925" s="88"/>
      <c r="C925" s="88"/>
      <c r="D925" s="89"/>
      <c r="E925" s="89"/>
      <c r="AD925" s="87"/>
      <c r="AE925" s="87"/>
    </row>
    <row r="926">
      <c r="B926" s="88"/>
      <c r="C926" s="88"/>
      <c r="D926" s="89"/>
      <c r="E926" s="89"/>
      <c r="AD926" s="87"/>
      <c r="AE926" s="87"/>
    </row>
    <row r="927">
      <c r="B927" s="88"/>
      <c r="C927" s="88"/>
      <c r="D927" s="89"/>
      <c r="E927" s="89"/>
      <c r="AD927" s="87"/>
      <c r="AE927" s="87"/>
    </row>
    <row r="928">
      <c r="B928" s="88"/>
      <c r="C928" s="88"/>
      <c r="D928" s="89"/>
      <c r="E928" s="89"/>
      <c r="AD928" s="87"/>
      <c r="AE928" s="87"/>
    </row>
    <row r="929">
      <c r="B929" s="88"/>
      <c r="C929" s="88"/>
      <c r="D929" s="89"/>
      <c r="E929" s="89"/>
      <c r="AD929" s="87"/>
      <c r="AE929" s="87"/>
    </row>
    <row r="930">
      <c r="B930" s="88"/>
      <c r="C930" s="88"/>
      <c r="D930" s="89"/>
      <c r="E930" s="89"/>
      <c r="AD930" s="87"/>
      <c r="AE930" s="87"/>
    </row>
    <row r="931">
      <c r="B931" s="88"/>
      <c r="C931" s="88"/>
      <c r="D931" s="89"/>
      <c r="E931" s="89"/>
      <c r="AD931" s="87"/>
      <c r="AE931" s="87"/>
    </row>
    <row r="932">
      <c r="B932" s="88"/>
      <c r="C932" s="88"/>
      <c r="D932" s="89"/>
      <c r="E932" s="89"/>
      <c r="AD932" s="87"/>
      <c r="AE932" s="87"/>
    </row>
    <row r="933">
      <c r="B933" s="88"/>
      <c r="C933" s="88"/>
      <c r="D933" s="89"/>
      <c r="E933" s="89"/>
      <c r="AD933" s="87"/>
      <c r="AE933" s="87"/>
    </row>
    <row r="934">
      <c r="B934" s="88"/>
      <c r="C934" s="88"/>
      <c r="D934" s="89"/>
      <c r="E934" s="89"/>
      <c r="AD934" s="87"/>
      <c r="AE934" s="87"/>
    </row>
    <row r="935">
      <c r="B935" s="88"/>
      <c r="C935" s="88"/>
      <c r="D935" s="89"/>
      <c r="E935" s="89"/>
      <c r="AD935" s="87"/>
      <c r="AE935" s="87"/>
    </row>
    <row r="936">
      <c r="B936" s="88"/>
      <c r="C936" s="88"/>
      <c r="D936" s="89"/>
      <c r="E936" s="89"/>
      <c r="AD936" s="87"/>
      <c r="AE936" s="87"/>
    </row>
    <row r="937">
      <c r="B937" s="88"/>
      <c r="C937" s="88"/>
      <c r="D937" s="89"/>
      <c r="E937" s="89"/>
      <c r="AD937" s="87"/>
      <c r="AE937" s="87"/>
    </row>
    <row r="938">
      <c r="B938" s="88"/>
      <c r="C938" s="88"/>
      <c r="D938" s="89"/>
      <c r="E938" s="89"/>
      <c r="AD938" s="87"/>
      <c r="AE938" s="87"/>
    </row>
    <row r="939">
      <c r="B939" s="88"/>
      <c r="C939" s="88"/>
      <c r="D939" s="89"/>
      <c r="E939" s="89"/>
      <c r="AD939" s="87"/>
      <c r="AE939" s="87"/>
    </row>
    <row r="940">
      <c r="B940" s="88"/>
      <c r="C940" s="88"/>
      <c r="D940" s="89"/>
      <c r="E940" s="89"/>
      <c r="AD940" s="87"/>
      <c r="AE940" s="87"/>
    </row>
    <row r="941">
      <c r="B941" s="88"/>
      <c r="C941" s="88"/>
      <c r="D941" s="89"/>
      <c r="E941" s="89"/>
      <c r="AD941" s="87"/>
      <c r="AE941" s="87"/>
    </row>
    <row r="942">
      <c r="B942" s="88"/>
      <c r="C942" s="88"/>
      <c r="D942" s="89"/>
      <c r="E942" s="89"/>
      <c r="AD942" s="87"/>
      <c r="AE942" s="87"/>
    </row>
    <row r="943">
      <c r="B943" s="88"/>
      <c r="C943" s="88"/>
      <c r="D943" s="89"/>
      <c r="E943" s="89"/>
      <c r="AD943" s="87"/>
      <c r="AE943" s="87"/>
    </row>
    <row r="944">
      <c r="B944" s="88"/>
      <c r="C944" s="88"/>
      <c r="D944" s="89"/>
      <c r="E944" s="89"/>
      <c r="AD944" s="87"/>
      <c r="AE944" s="87"/>
    </row>
    <row r="945">
      <c r="B945" s="88"/>
      <c r="C945" s="88"/>
      <c r="D945" s="89"/>
      <c r="E945" s="89"/>
      <c r="AD945" s="87"/>
      <c r="AE945" s="87"/>
    </row>
    <row r="946">
      <c r="B946" s="88"/>
      <c r="C946" s="88"/>
      <c r="D946" s="89"/>
      <c r="E946" s="89"/>
      <c r="AD946" s="87"/>
      <c r="AE946" s="87"/>
    </row>
    <row r="947">
      <c r="B947" s="88"/>
      <c r="C947" s="88"/>
      <c r="D947" s="89"/>
      <c r="E947" s="89"/>
      <c r="AD947" s="87"/>
      <c r="AE947" s="87"/>
    </row>
    <row r="948">
      <c r="B948" s="88"/>
      <c r="C948" s="88"/>
      <c r="D948" s="89"/>
      <c r="E948" s="89"/>
      <c r="AD948" s="87"/>
      <c r="AE948" s="87"/>
    </row>
    <row r="949">
      <c r="B949" s="88"/>
      <c r="C949" s="88"/>
      <c r="D949" s="89"/>
      <c r="E949" s="89"/>
      <c r="AD949" s="87"/>
      <c r="AE949" s="87"/>
    </row>
    <row r="950">
      <c r="B950" s="88"/>
      <c r="C950" s="88"/>
      <c r="D950" s="89"/>
      <c r="E950" s="89"/>
      <c r="AD950" s="87"/>
      <c r="AE950" s="87"/>
    </row>
    <row r="951">
      <c r="B951" s="88"/>
      <c r="C951" s="88"/>
      <c r="D951" s="89"/>
      <c r="E951" s="89"/>
      <c r="AD951" s="87"/>
      <c r="AE951" s="87"/>
    </row>
    <row r="952">
      <c r="B952" s="88"/>
      <c r="C952" s="88"/>
      <c r="D952" s="89"/>
      <c r="E952" s="89"/>
      <c r="AD952" s="87"/>
      <c r="AE952" s="87"/>
    </row>
    <row r="953">
      <c r="B953" s="88"/>
      <c r="C953" s="88"/>
      <c r="D953" s="89"/>
      <c r="E953" s="89"/>
      <c r="AD953" s="87"/>
      <c r="AE953" s="87"/>
    </row>
    <row r="954">
      <c r="B954" s="88"/>
      <c r="C954" s="88"/>
      <c r="D954" s="89"/>
      <c r="E954" s="89"/>
      <c r="AD954" s="87"/>
      <c r="AE954" s="87"/>
    </row>
    <row r="955">
      <c r="B955" s="88"/>
      <c r="C955" s="88"/>
      <c r="D955" s="89"/>
      <c r="E955" s="89"/>
      <c r="AD955" s="87"/>
      <c r="AE955" s="87"/>
    </row>
    <row r="956">
      <c r="B956" s="88"/>
      <c r="C956" s="88"/>
      <c r="D956" s="89"/>
      <c r="E956" s="89"/>
      <c r="AD956" s="87"/>
      <c r="AE956" s="87"/>
    </row>
    <row r="957">
      <c r="B957" s="88"/>
      <c r="C957" s="88"/>
      <c r="D957" s="89"/>
      <c r="E957" s="89"/>
      <c r="AD957" s="87"/>
      <c r="AE957" s="87"/>
    </row>
    <row r="958">
      <c r="B958" s="88"/>
      <c r="C958" s="88"/>
      <c r="D958" s="89"/>
      <c r="E958" s="89"/>
      <c r="AD958" s="87"/>
      <c r="AE958" s="87"/>
    </row>
    <row r="959">
      <c r="B959" s="88"/>
      <c r="C959" s="88"/>
      <c r="D959" s="89"/>
      <c r="E959" s="89"/>
      <c r="AD959" s="87"/>
      <c r="AE959" s="87"/>
    </row>
    <row r="960">
      <c r="B960" s="88"/>
      <c r="C960" s="88"/>
      <c r="D960" s="89"/>
      <c r="E960" s="89"/>
      <c r="AD960" s="87"/>
      <c r="AE960" s="87"/>
    </row>
    <row r="961">
      <c r="B961" s="88"/>
      <c r="C961" s="88"/>
      <c r="D961" s="89"/>
      <c r="E961" s="89"/>
      <c r="AD961" s="87"/>
      <c r="AE961" s="87"/>
    </row>
    <row r="962">
      <c r="B962" s="88"/>
      <c r="C962" s="88"/>
      <c r="D962" s="89"/>
      <c r="E962" s="89"/>
      <c r="AD962" s="87"/>
      <c r="AE962" s="87"/>
    </row>
    <row r="963">
      <c r="B963" s="88"/>
      <c r="C963" s="88"/>
      <c r="D963" s="89"/>
      <c r="E963" s="89"/>
      <c r="AD963" s="87"/>
      <c r="AE963" s="87"/>
    </row>
    <row r="964">
      <c r="B964" s="88"/>
      <c r="C964" s="88"/>
      <c r="D964" s="89"/>
      <c r="E964" s="89"/>
      <c r="AD964" s="87"/>
      <c r="AE964" s="87"/>
    </row>
    <row r="965">
      <c r="B965" s="88"/>
      <c r="C965" s="88"/>
      <c r="D965" s="89"/>
      <c r="E965" s="89"/>
      <c r="AD965" s="87"/>
      <c r="AE965" s="87"/>
    </row>
    <row r="966">
      <c r="B966" s="88"/>
      <c r="C966" s="88"/>
      <c r="D966" s="89"/>
      <c r="E966" s="89"/>
      <c r="AD966" s="87"/>
      <c r="AE966" s="87"/>
    </row>
    <row r="967">
      <c r="B967" s="88"/>
      <c r="C967" s="88"/>
      <c r="D967" s="89"/>
      <c r="E967" s="89"/>
      <c r="AD967" s="87"/>
      <c r="AE967" s="87"/>
    </row>
    <row r="968">
      <c r="B968" s="88"/>
      <c r="C968" s="88"/>
      <c r="D968" s="89"/>
      <c r="E968" s="89"/>
      <c r="AD968" s="87"/>
      <c r="AE968" s="87"/>
    </row>
    <row r="969">
      <c r="B969" s="88"/>
      <c r="C969" s="88"/>
      <c r="D969" s="89"/>
      <c r="E969" s="89"/>
      <c r="AD969" s="87"/>
      <c r="AE969" s="87"/>
    </row>
    <row r="970">
      <c r="B970" s="88"/>
      <c r="C970" s="88"/>
      <c r="D970" s="89"/>
      <c r="E970" s="89"/>
      <c r="AD970" s="87"/>
      <c r="AE970" s="87"/>
    </row>
    <row r="971">
      <c r="B971" s="88"/>
      <c r="C971" s="88"/>
      <c r="D971" s="89"/>
      <c r="E971" s="89"/>
      <c r="AD971" s="87"/>
      <c r="AE971" s="87"/>
    </row>
    <row r="972">
      <c r="B972" s="88"/>
      <c r="C972" s="88"/>
      <c r="D972" s="89"/>
      <c r="E972" s="89"/>
      <c r="AD972" s="87"/>
      <c r="AE972" s="87"/>
    </row>
    <row r="973">
      <c r="B973" s="88"/>
      <c r="C973" s="88"/>
      <c r="D973" s="89"/>
      <c r="E973" s="89"/>
      <c r="AD973" s="87"/>
      <c r="AE973" s="87"/>
    </row>
    <row r="974">
      <c r="B974" s="88"/>
      <c r="C974" s="88"/>
      <c r="D974" s="89"/>
      <c r="E974" s="89"/>
      <c r="AD974" s="87"/>
      <c r="AE974" s="87"/>
    </row>
    <row r="975">
      <c r="B975" s="88"/>
      <c r="C975" s="88"/>
      <c r="D975" s="89"/>
      <c r="E975" s="89"/>
      <c r="AD975" s="87"/>
      <c r="AE975" s="87"/>
    </row>
    <row r="976">
      <c r="B976" s="88"/>
      <c r="C976" s="88"/>
      <c r="D976" s="89"/>
      <c r="E976" s="89"/>
      <c r="AD976" s="87"/>
      <c r="AE976" s="87"/>
    </row>
    <row r="977">
      <c r="B977" s="88"/>
      <c r="C977" s="88"/>
      <c r="D977" s="89"/>
      <c r="E977" s="89"/>
      <c r="AD977" s="87"/>
      <c r="AE977" s="87"/>
    </row>
    <row r="978">
      <c r="B978" s="88"/>
      <c r="C978" s="88"/>
      <c r="D978" s="89"/>
      <c r="E978" s="89"/>
      <c r="AD978" s="87"/>
      <c r="AE978" s="87"/>
    </row>
    <row r="979">
      <c r="B979" s="88"/>
      <c r="C979" s="88"/>
      <c r="D979" s="89"/>
      <c r="E979" s="89"/>
      <c r="AD979" s="87"/>
      <c r="AE979" s="87"/>
    </row>
    <row r="980">
      <c r="B980" s="88"/>
      <c r="C980" s="88"/>
      <c r="D980" s="89"/>
      <c r="E980" s="89"/>
      <c r="AD980" s="87"/>
      <c r="AE980" s="87"/>
    </row>
    <row r="981">
      <c r="B981" s="88"/>
      <c r="C981" s="88"/>
      <c r="D981" s="89"/>
      <c r="E981" s="89"/>
      <c r="AD981" s="87"/>
      <c r="AE981" s="87"/>
    </row>
    <row r="982">
      <c r="B982" s="88"/>
      <c r="C982" s="88"/>
      <c r="D982" s="89"/>
      <c r="E982" s="89"/>
      <c r="AD982" s="87"/>
      <c r="AE982" s="87"/>
    </row>
    <row r="983">
      <c r="B983" s="88"/>
      <c r="C983" s="88"/>
      <c r="D983" s="89"/>
      <c r="E983" s="89"/>
      <c r="AD983" s="87"/>
      <c r="AE983" s="87"/>
    </row>
    <row r="984">
      <c r="B984" s="88"/>
      <c r="C984" s="88"/>
      <c r="D984" s="89"/>
      <c r="E984" s="89"/>
      <c r="AD984" s="87"/>
      <c r="AE984" s="87"/>
    </row>
    <row r="985">
      <c r="B985" s="88"/>
      <c r="C985" s="88"/>
      <c r="D985" s="89"/>
      <c r="E985" s="89"/>
      <c r="AD985" s="87"/>
      <c r="AE985" s="87"/>
    </row>
    <row r="986">
      <c r="B986" s="88"/>
      <c r="C986" s="88"/>
      <c r="D986" s="89"/>
      <c r="E986" s="89"/>
      <c r="AD986" s="87"/>
      <c r="AE986" s="87"/>
    </row>
    <row r="987">
      <c r="B987" s="88"/>
      <c r="C987" s="88"/>
      <c r="D987" s="89"/>
      <c r="E987" s="89"/>
      <c r="AD987" s="87"/>
      <c r="AE987" s="87"/>
    </row>
    <row r="988">
      <c r="B988" s="88"/>
      <c r="C988" s="88"/>
      <c r="D988" s="89"/>
      <c r="E988" s="89"/>
      <c r="AD988" s="87"/>
      <c r="AE988" s="87"/>
    </row>
    <row r="989">
      <c r="B989" s="88"/>
      <c r="C989" s="88"/>
      <c r="D989" s="89"/>
      <c r="E989" s="89"/>
      <c r="AD989" s="87"/>
      <c r="AE989" s="87"/>
    </row>
    <row r="990">
      <c r="B990" s="88"/>
      <c r="C990" s="88"/>
      <c r="D990" s="89"/>
      <c r="E990" s="89"/>
      <c r="AD990" s="87"/>
      <c r="AE990" s="87"/>
    </row>
    <row r="991">
      <c r="B991" s="88"/>
      <c r="C991" s="88"/>
      <c r="D991" s="89"/>
      <c r="E991" s="89"/>
      <c r="AD991" s="87"/>
      <c r="AE991" s="87"/>
    </row>
    <row r="992">
      <c r="B992" s="88"/>
      <c r="C992" s="88"/>
      <c r="D992" s="89"/>
      <c r="E992" s="89"/>
      <c r="AD992" s="87"/>
      <c r="AE992" s="87"/>
    </row>
    <row r="993">
      <c r="B993" s="88"/>
      <c r="C993" s="88"/>
      <c r="D993" s="89"/>
      <c r="E993" s="89"/>
      <c r="AD993" s="87"/>
      <c r="AE993" s="87"/>
    </row>
    <row r="994">
      <c r="B994" s="88"/>
      <c r="C994" s="88"/>
      <c r="D994" s="89"/>
      <c r="E994" s="89"/>
      <c r="AD994" s="87"/>
      <c r="AE994" s="87"/>
    </row>
    <row r="995">
      <c r="B995" s="88"/>
      <c r="C995" s="88"/>
      <c r="D995" s="89"/>
      <c r="E995" s="89"/>
      <c r="AD995" s="87"/>
      <c r="AE995" s="87"/>
    </row>
    <row r="996">
      <c r="B996" s="88"/>
      <c r="C996" s="88"/>
      <c r="D996" s="89"/>
      <c r="E996" s="89"/>
      <c r="AD996" s="87"/>
      <c r="AE996" s="87"/>
    </row>
    <row r="997">
      <c r="B997" s="88"/>
      <c r="C997" s="88"/>
      <c r="D997" s="89"/>
      <c r="E997" s="89"/>
      <c r="AD997" s="87"/>
      <c r="AE997" s="87"/>
    </row>
    <row r="998">
      <c r="B998" s="88"/>
      <c r="C998" s="88"/>
      <c r="D998" s="89"/>
      <c r="E998" s="89"/>
      <c r="AD998" s="87"/>
      <c r="AE998" s="87"/>
    </row>
    <row r="999">
      <c r="B999" s="88"/>
      <c r="C999" s="88"/>
      <c r="D999" s="89"/>
      <c r="E999" s="89"/>
      <c r="AD999" s="87"/>
      <c r="AE999" s="87"/>
    </row>
    <row r="1000">
      <c r="B1000" s="88"/>
      <c r="C1000" s="88"/>
      <c r="D1000" s="89"/>
      <c r="E1000" s="89"/>
      <c r="AD1000" s="87"/>
      <c r="AE1000" s="87"/>
    </row>
  </sheetData>
  <mergeCells count="2">
    <mergeCell ref="A1:C1"/>
    <mergeCell ref="B3:E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7.0"/>
    <col customWidth="1" min="2" max="2" width="8.75"/>
    <col customWidth="1" min="3" max="3" width="8.5"/>
    <col customWidth="1" min="4" max="4" width="7.25"/>
    <col customWidth="1" min="5" max="5" width="6.5"/>
  </cols>
  <sheetData>
    <row r="1">
      <c r="A1" s="6" t="s">
        <v>276</v>
      </c>
      <c r="D1" s="6"/>
      <c r="E1" s="6"/>
    </row>
    <row r="2">
      <c r="B2" s="89"/>
      <c r="C2" s="89"/>
      <c r="D2" s="89"/>
      <c r="E2" s="89"/>
    </row>
    <row r="3">
      <c r="B3" s="101" t="s">
        <v>285</v>
      </c>
      <c r="F3" s="4" t="s">
        <v>286</v>
      </c>
      <c r="J3" s="4" t="s">
        <v>287</v>
      </c>
      <c r="P3" s="4" t="s">
        <v>186</v>
      </c>
      <c r="T3" s="4" t="s">
        <v>203</v>
      </c>
    </row>
    <row r="4">
      <c r="A4" s="4" t="s">
        <v>290</v>
      </c>
      <c r="B4" s="66" t="s">
        <v>291</v>
      </c>
      <c r="C4" s="66" t="s">
        <v>293</v>
      </c>
      <c r="D4" s="66" t="s">
        <v>295</v>
      </c>
      <c r="E4" s="66" t="s">
        <v>296</v>
      </c>
      <c r="F4" s="4" t="s">
        <v>297</v>
      </c>
      <c r="G4" s="4" t="s">
        <v>11</v>
      </c>
      <c r="H4" s="4" t="s">
        <v>157</v>
      </c>
      <c r="I4" s="4" t="s">
        <v>299</v>
      </c>
      <c r="J4" s="4" t="s">
        <v>305</v>
      </c>
      <c r="L4" s="4" t="s">
        <v>11</v>
      </c>
      <c r="M4" s="4" t="s">
        <v>157</v>
      </c>
      <c r="N4" s="4" t="s">
        <v>162</v>
      </c>
      <c r="O4" s="4"/>
      <c r="P4" s="4" t="s">
        <v>313</v>
      </c>
      <c r="Q4" s="4" t="s">
        <v>11</v>
      </c>
      <c r="T4" s="4" t="s">
        <v>293</v>
      </c>
      <c r="U4" s="4" t="s">
        <v>11</v>
      </c>
      <c r="V4" s="4" t="s">
        <v>157</v>
      </c>
    </row>
    <row r="5">
      <c r="A5" s="4">
        <v>1.0</v>
      </c>
      <c r="B5" s="66">
        <v>7.0</v>
      </c>
      <c r="C5" s="66">
        <v>14.0</v>
      </c>
      <c r="D5" s="66">
        <f>SUM(B$5)</f>
        <v>7</v>
      </c>
      <c r="E5" s="66">
        <f>sum(C5)</f>
        <v>14</v>
      </c>
      <c r="F5" s="94"/>
      <c r="G5" s="94">
        <v>1.055</v>
      </c>
      <c r="H5" s="96"/>
      <c r="I5" s="96"/>
      <c r="J5" s="96"/>
      <c r="K5" s="96"/>
      <c r="L5" s="94">
        <v>1.115</v>
      </c>
      <c r="M5" s="96"/>
      <c r="N5" s="96"/>
      <c r="O5" s="96"/>
      <c r="P5" s="96"/>
      <c r="Q5" s="96"/>
      <c r="R5" s="96"/>
      <c r="S5" s="96"/>
      <c r="T5" s="96"/>
      <c r="U5" s="94">
        <v>1.055</v>
      </c>
      <c r="V5" s="94">
        <v>1.065</v>
      </c>
    </row>
    <row r="6">
      <c r="A6" s="4">
        <v>2.0</v>
      </c>
      <c r="B6" s="66">
        <v>7.0</v>
      </c>
      <c r="C6" s="66">
        <v>14.0</v>
      </c>
      <c r="D6" s="66">
        <f t="shared" ref="D6:D55" si="1">SUM($B$5:B6)</f>
        <v>14</v>
      </c>
      <c r="E6" s="66">
        <f t="shared" ref="E6:E55" si="2">SUM($C$5:C6)</f>
        <v>28</v>
      </c>
      <c r="F6" s="96"/>
      <c r="G6" s="96"/>
      <c r="H6" s="96"/>
      <c r="I6" s="96"/>
      <c r="J6" s="96"/>
      <c r="K6" s="96"/>
      <c r="L6" s="96"/>
      <c r="M6" s="96"/>
      <c r="N6" s="96"/>
      <c r="O6" s="96"/>
      <c r="P6" s="96"/>
      <c r="Q6" s="96"/>
      <c r="R6" s="96"/>
      <c r="S6" s="96"/>
      <c r="T6" s="96"/>
      <c r="U6" s="96"/>
      <c r="V6" s="96"/>
    </row>
    <row r="7">
      <c r="A7" s="4">
        <v>3.0</v>
      </c>
      <c r="B7" s="66">
        <v>7.0</v>
      </c>
      <c r="C7" s="66">
        <v>14.0</v>
      </c>
      <c r="D7" s="66">
        <f t="shared" si="1"/>
        <v>21</v>
      </c>
      <c r="E7" s="66">
        <f t="shared" si="2"/>
        <v>42</v>
      </c>
      <c r="F7" s="96"/>
      <c r="G7" s="96"/>
      <c r="H7" s="96"/>
      <c r="I7" s="96"/>
      <c r="J7" s="96"/>
      <c r="K7" s="96"/>
      <c r="L7" s="96"/>
      <c r="M7" s="96"/>
      <c r="N7" s="96"/>
      <c r="O7" s="96"/>
      <c r="P7" s="96"/>
      <c r="Q7" s="96"/>
      <c r="R7" s="96"/>
      <c r="S7" s="96"/>
      <c r="T7" s="96"/>
      <c r="U7" s="96"/>
      <c r="V7" s="96"/>
    </row>
    <row r="8">
      <c r="A8" s="97">
        <f t="shared" ref="A8:A304" si="3">A7+1</f>
        <v>4</v>
      </c>
      <c r="B8" s="66">
        <v>7.0</v>
      </c>
      <c r="C8" s="66">
        <v>14.0</v>
      </c>
      <c r="D8" s="66">
        <f t="shared" si="1"/>
        <v>28</v>
      </c>
      <c r="E8" s="66">
        <f t="shared" si="2"/>
        <v>56</v>
      </c>
      <c r="F8" s="96"/>
      <c r="G8" s="96"/>
      <c r="H8" s="96"/>
      <c r="I8" s="96"/>
      <c r="J8" s="96"/>
      <c r="K8" s="96"/>
      <c r="L8" s="96"/>
      <c r="M8" s="96"/>
      <c r="N8" s="96"/>
      <c r="O8" s="96"/>
      <c r="P8" s="96"/>
      <c r="Q8" s="96"/>
      <c r="R8" s="96"/>
      <c r="S8" s="96"/>
      <c r="T8" s="96"/>
      <c r="U8" s="96"/>
      <c r="V8" s="96"/>
    </row>
    <row r="9">
      <c r="A9" s="97">
        <f t="shared" si="3"/>
        <v>5</v>
      </c>
      <c r="B9" s="66">
        <v>12.0</v>
      </c>
      <c r="C9" s="66">
        <v>21.0</v>
      </c>
      <c r="D9" s="66">
        <f t="shared" si="1"/>
        <v>40</v>
      </c>
      <c r="E9" s="66">
        <f t="shared" si="2"/>
        <v>77</v>
      </c>
      <c r="F9" s="96"/>
      <c r="G9" s="96"/>
      <c r="H9" s="96"/>
      <c r="I9" s="96"/>
      <c r="J9" s="96"/>
      <c r="K9" s="96"/>
      <c r="L9" s="96"/>
      <c r="M9" s="96"/>
      <c r="N9" s="96"/>
      <c r="O9" s="96"/>
      <c r="P9" s="96"/>
      <c r="Q9" s="96"/>
      <c r="R9" s="96"/>
      <c r="S9" s="96"/>
      <c r="T9" s="96"/>
      <c r="U9" s="96"/>
      <c r="V9" s="96"/>
    </row>
    <row r="10">
      <c r="A10" s="97">
        <f t="shared" si="3"/>
        <v>6</v>
      </c>
      <c r="B10" s="66">
        <v>12.0</v>
      </c>
      <c r="C10" s="66">
        <v>21.0</v>
      </c>
      <c r="D10" s="66">
        <f t="shared" si="1"/>
        <v>52</v>
      </c>
      <c r="E10" s="66">
        <f t="shared" si="2"/>
        <v>98</v>
      </c>
      <c r="F10" s="96"/>
      <c r="G10" s="96"/>
      <c r="H10" s="96"/>
      <c r="I10" s="96"/>
      <c r="J10" s="96"/>
      <c r="K10" s="96"/>
      <c r="L10" s="96"/>
      <c r="M10" s="96"/>
      <c r="N10" s="96"/>
      <c r="O10" s="96"/>
      <c r="P10" s="96"/>
      <c r="Q10" s="96"/>
      <c r="R10" s="96"/>
      <c r="S10" s="96"/>
      <c r="T10" s="96"/>
      <c r="U10" s="96"/>
      <c r="V10" s="96"/>
    </row>
    <row r="11">
      <c r="A11" s="97">
        <f t="shared" si="3"/>
        <v>7</v>
      </c>
      <c r="B11" s="66">
        <v>12.0</v>
      </c>
      <c r="C11" s="66">
        <v>21.0</v>
      </c>
      <c r="D11" s="66">
        <f t="shared" si="1"/>
        <v>64</v>
      </c>
      <c r="E11" s="66">
        <f t="shared" si="2"/>
        <v>119</v>
      </c>
      <c r="F11" s="96"/>
      <c r="G11" s="96"/>
      <c r="H11" s="96"/>
      <c r="I11" s="96"/>
      <c r="J11" s="96"/>
      <c r="K11" s="96"/>
      <c r="L11" s="96"/>
      <c r="M11" s="96"/>
      <c r="N11" s="96"/>
      <c r="O11" s="96"/>
      <c r="P11" s="96"/>
      <c r="Q11" s="96"/>
      <c r="R11" s="96"/>
      <c r="S11" s="96"/>
      <c r="T11" s="96"/>
      <c r="U11" s="96"/>
      <c r="V11" s="96"/>
    </row>
    <row r="12">
      <c r="A12" s="97">
        <f t="shared" si="3"/>
        <v>8</v>
      </c>
      <c r="B12" s="66">
        <v>12.0</v>
      </c>
      <c r="C12" s="66">
        <v>21.0</v>
      </c>
      <c r="D12" s="66">
        <f t="shared" si="1"/>
        <v>76</v>
      </c>
      <c r="E12" s="66">
        <f t="shared" si="2"/>
        <v>140</v>
      </c>
      <c r="F12" s="96"/>
      <c r="G12" s="96"/>
      <c r="H12" s="96"/>
      <c r="I12" s="96"/>
      <c r="J12" s="96"/>
      <c r="K12" s="96"/>
      <c r="L12" s="96"/>
      <c r="M12" s="96"/>
      <c r="N12" s="96"/>
      <c r="O12" s="96"/>
      <c r="P12" s="96"/>
      <c r="Q12" s="96"/>
      <c r="R12" s="96"/>
      <c r="S12" s="96"/>
      <c r="T12" s="96"/>
      <c r="U12" s="96"/>
      <c r="V12" s="96"/>
    </row>
    <row r="13">
      <c r="A13" s="97">
        <f t="shared" si="3"/>
        <v>9</v>
      </c>
      <c r="B13" s="66">
        <v>12.0</v>
      </c>
      <c r="C13" s="66">
        <v>29.0</v>
      </c>
      <c r="D13" s="66">
        <f t="shared" si="1"/>
        <v>88</v>
      </c>
      <c r="E13" s="66">
        <f t="shared" si="2"/>
        <v>169</v>
      </c>
      <c r="F13" s="96"/>
      <c r="G13" s="96"/>
      <c r="H13" s="96"/>
      <c r="I13" s="96"/>
      <c r="J13" s="96"/>
      <c r="K13" s="96"/>
      <c r="L13" s="96"/>
      <c r="M13" s="96"/>
      <c r="N13" s="96"/>
      <c r="O13" s="96"/>
      <c r="P13" s="96"/>
      <c r="Q13" s="96"/>
      <c r="R13" s="96"/>
      <c r="S13" s="96"/>
      <c r="T13" s="96"/>
      <c r="U13" s="96"/>
      <c r="V13" s="96"/>
    </row>
    <row r="14">
      <c r="A14" s="97">
        <f t="shared" si="3"/>
        <v>10</v>
      </c>
      <c r="B14" s="89"/>
      <c r="C14" s="89"/>
      <c r="D14" s="66">
        <f t="shared" si="1"/>
        <v>88</v>
      </c>
      <c r="E14" s="66">
        <f t="shared" si="2"/>
        <v>169</v>
      </c>
      <c r="F14" s="96"/>
      <c r="G14" s="96"/>
      <c r="H14" s="96"/>
      <c r="I14" s="96"/>
      <c r="J14" s="96"/>
      <c r="K14" s="96"/>
      <c r="L14" s="96"/>
      <c r="M14" s="96"/>
      <c r="N14" s="96"/>
      <c r="O14" s="96"/>
      <c r="P14" s="96"/>
      <c r="Q14" s="96"/>
      <c r="R14" s="96"/>
      <c r="S14" s="96"/>
      <c r="T14" s="96"/>
      <c r="U14" s="96"/>
      <c r="V14" s="96"/>
    </row>
    <row r="15">
      <c r="A15" s="97">
        <f t="shared" si="3"/>
        <v>11</v>
      </c>
      <c r="B15" s="66"/>
      <c r="C15" s="66"/>
      <c r="D15" s="66">
        <f t="shared" si="1"/>
        <v>88</v>
      </c>
      <c r="E15" s="66">
        <f t="shared" si="2"/>
        <v>169</v>
      </c>
      <c r="F15" s="94"/>
      <c r="G15" s="94">
        <v>1.545</v>
      </c>
      <c r="H15" s="96">
        <f t="shared" ref="H15:H32" si="4">G15+0.01</f>
        <v>1.555</v>
      </c>
      <c r="I15" s="96">
        <f t="shared" ref="I15:I40" si="5">H15+0.02</f>
        <v>1.575</v>
      </c>
      <c r="J15" s="96"/>
      <c r="K15" s="96"/>
      <c r="L15" s="96"/>
      <c r="M15" s="96"/>
      <c r="N15" s="96"/>
      <c r="O15" s="96"/>
      <c r="P15" s="96"/>
      <c r="Q15" s="96"/>
      <c r="R15" s="96"/>
      <c r="S15" s="96"/>
      <c r="T15" s="96"/>
      <c r="U15" s="96"/>
      <c r="V15" s="96"/>
    </row>
    <row r="16">
      <c r="A16" s="97">
        <f t="shared" si="3"/>
        <v>12</v>
      </c>
      <c r="B16" s="89"/>
      <c r="C16" s="89"/>
      <c r="D16" s="66">
        <f t="shared" si="1"/>
        <v>88</v>
      </c>
      <c r="E16" s="66">
        <f t="shared" si="2"/>
        <v>169</v>
      </c>
      <c r="F16" s="96"/>
      <c r="G16" s="96">
        <f>G15+0.06</f>
        <v>1.605</v>
      </c>
      <c r="H16" s="96">
        <f t="shared" si="4"/>
        <v>1.615</v>
      </c>
      <c r="I16" s="96">
        <f t="shared" si="5"/>
        <v>1.635</v>
      </c>
      <c r="J16" s="96"/>
      <c r="K16" s="96"/>
      <c r="L16" s="96"/>
      <c r="M16" s="96"/>
      <c r="N16" s="96"/>
      <c r="O16" s="96"/>
      <c r="P16" s="96"/>
      <c r="Q16" s="96"/>
      <c r="R16" s="96"/>
      <c r="S16" s="96"/>
      <c r="T16" s="96"/>
      <c r="U16" s="96"/>
      <c r="V16" s="96"/>
    </row>
    <row r="17">
      <c r="A17" s="97">
        <f t="shared" si="3"/>
        <v>13</v>
      </c>
      <c r="B17" s="66"/>
      <c r="C17" s="66"/>
      <c r="D17" s="66">
        <f t="shared" si="1"/>
        <v>88</v>
      </c>
      <c r="E17" s="66">
        <f t="shared" si="2"/>
        <v>169</v>
      </c>
      <c r="F17" s="94">
        <f>G17-G15</f>
        <v>0.12</v>
      </c>
      <c r="G17" s="94">
        <v>1.665</v>
      </c>
      <c r="H17" s="96">
        <f t="shared" si="4"/>
        <v>1.675</v>
      </c>
      <c r="I17" s="96">
        <f t="shared" si="5"/>
        <v>1.695</v>
      </c>
      <c r="J17" s="96"/>
      <c r="K17" s="96"/>
      <c r="L17" s="96"/>
      <c r="M17" s="96"/>
      <c r="N17" s="96"/>
      <c r="O17" s="96"/>
      <c r="P17" s="96"/>
      <c r="Q17" s="96"/>
      <c r="R17" s="96"/>
      <c r="S17" s="96"/>
      <c r="T17" s="96"/>
      <c r="U17" s="96"/>
      <c r="V17" s="96"/>
    </row>
    <row r="18">
      <c r="A18" s="97">
        <f t="shared" si="3"/>
        <v>14</v>
      </c>
      <c r="B18" s="89"/>
      <c r="C18" s="89"/>
      <c r="D18" s="66">
        <f t="shared" si="1"/>
        <v>88</v>
      </c>
      <c r="E18" s="66">
        <f t="shared" si="2"/>
        <v>169</v>
      </c>
      <c r="F18" s="96"/>
      <c r="G18" s="96">
        <f>G17+0.06</f>
        <v>1.725</v>
      </c>
      <c r="H18" s="96">
        <f t="shared" si="4"/>
        <v>1.735</v>
      </c>
      <c r="I18" s="96">
        <f t="shared" si="5"/>
        <v>1.755</v>
      </c>
      <c r="J18" s="96"/>
      <c r="K18" s="96"/>
      <c r="L18" s="94">
        <v>1.84</v>
      </c>
      <c r="M18" s="96"/>
      <c r="N18" s="96"/>
      <c r="O18" s="96"/>
      <c r="P18" s="96"/>
      <c r="Q18" s="96"/>
      <c r="R18" s="96"/>
      <c r="S18" s="96"/>
      <c r="T18" s="96"/>
      <c r="U18" s="96"/>
      <c r="V18" s="96"/>
    </row>
    <row r="19">
      <c r="A19" s="97">
        <f t="shared" si="3"/>
        <v>15</v>
      </c>
      <c r="B19" s="66"/>
      <c r="C19" s="66"/>
      <c r="D19" s="66">
        <f t="shared" si="1"/>
        <v>88</v>
      </c>
      <c r="E19" s="66">
        <f t="shared" si="2"/>
        <v>169</v>
      </c>
      <c r="F19" s="94">
        <f>G19-G17</f>
        <v>0.125</v>
      </c>
      <c r="G19" s="94">
        <v>1.79</v>
      </c>
      <c r="H19" s="96">
        <f t="shared" si="4"/>
        <v>1.8</v>
      </c>
      <c r="I19" s="96">
        <f t="shared" si="5"/>
        <v>1.82</v>
      </c>
      <c r="J19" s="96"/>
      <c r="K19" s="96"/>
      <c r="L19" s="96"/>
      <c r="M19" s="96"/>
      <c r="N19" s="96"/>
      <c r="O19" s="96"/>
      <c r="P19" s="96"/>
      <c r="Q19" s="96"/>
      <c r="R19" s="96"/>
      <c r="S19" s="96"/>
      <c r="T19" s="96"/>
      <c r="U19" s="96"/>
      <c r="V19" s="96"/>
    </row>
    <row r="20">
      <c r="A20" s="97">
        <f t="shared" si="3"/>
        <v>16</v>
      </c>
      <c r="B20" s="89"/>
      <c r="C20" s="89"/>
      <c r="D20" s="66">
        <f t="shared" si="1"/>
        <v>88</v>
      </c>
      <c r="E20" s="66">
        <f t="shared" si="2"/>
        <v>169</v>
      </c>
      <c r="F20" s="96"/>
      <c r="G20" s="96">
        <f t="shared" ref="G20:G23" si="6">G19+0.065</f>
        <v>1.855</v>
      </c>
      <c r="H20" s="96">
        <f t="shared" si="4"/>
        <v>1.865</v>
      </c>
      <c r="I20" s="96">
        <f t="shared" si="5"/>
        <v>1.885</v>
      </c>
      <c r="J20" s="96"/>
      <c r="K20" s="96"/>
      <c r="L20" s="96"/>
      <c r="M20" s="96"/>
      <c r="N20" s="96"/>
      <c r="O20" s="96"/>
      <c r="P20" s="96"/>
      <c r="Q20" s="96"/>
      <c r="R20" s="96"/>
      <c r="S20" s="96"/>
      <c r="T20" s="96"/>
      <c r="U20" s="96"/>
      <c r="V20" s="96"/>
    </row>
    <row r="21">
      <c r="A21" s="97">
        <f t="shared" si="3"/>
        <v>17</v>
      </c>
      <c r="B21" s="89"/>
      <c r="C21" s="89"/>
      <c r="D21" s="66">
        <f t="shared" si="1"/>
        <v>88</v>
      </c>
      <c r="E21" s="66">
        <f t="shared" si="2"/>
        <v>169</v>
      </c>
      <c r="F21" s="96"/>
      <c r="G21" s="96">
        <f t="shared" si="6"/>
        <v>1.92</v>
      </c>
      <c r="H21" s="96">
        <f t="shared" si="4"/>
        <v>1.93</v>
      </c>
      <c r="I21" s="96">
        <f t="shared" si="5"/>
        <v>1.95</v>
      </c>
      <c r="J21" s="96"/>
      <c r="K21" s="96"/>
      <c r="L21" s="96"/>
      <c r="M21" s="96"/>
      <c r="N21" s="96"/>
      <c r="O21" s="96"/>
      <c r="P21" s="96"/>
      <c r="Q21" s="96"/>
      <c r="R21" s="96"/>
      <c r="S21" s="96"/>
      <c r="T21" s="96"/>
      <c r="U21" s="96"/>
      <c r="V21" s="96"/>
    </row>
    <row r="22">
      <c r="A22" s="97">
        <f t="shared" si="3"/>
        <v>18</v>
      </c>
      <c r="B22" s="89"/>
      <c r="C22" s="89"/>
      <c r="D22" s="66">
        <f t="shared" si="1"/>
        <v>88</v>
      </c>
      <c r="E22" s="66">
        <f t="shared" si="2"/>
        <v>169</v>
      </c>
      <c r="F22" s="96"/>
      <c r="G22" s="96">
        <f t="shared" si="6"/>
        <v>1.985</v>
      </c>
      <c r="H22" s="96">
        <f t="shared" si="4"/>
        <v>1.995</v>
      </c>
      <c r="I22" s="96">
        <f t="shared" si="5"/>
        <v>2.015</v>
      </c>
      <c r="J22" s="96"/>
      <c r="K22" s="96"/>
      <c r="L22" s="96"/>
      <c r="M22" s="96"/>
      <c r="N22" s="96"/>
      <c r="O22" s="96"/>
      <c r="P22" s="96"/>
      <c r="Q22" s="96"/>
      <c r="R22" s="96"/>
      <c r="S22" s="96"/>
      <c r="T22" s="96"/>
      <c r="U22" s="96"/>
      <c r="V22" s="96"/>
    </row>
    <row r="23">
      <c r="A23" s="97">
        <f t="shared" si="3"/>
        <v>19</v>
      </c>
      <c r="B23" s="89"/>
      <c r="C23" s="89"/>
      <c r="D23" s="66">
        <f t="shared" si="1"/>
        <v>88</v>
      </c>
      <c r="E23" s="66">
        <f t="shared" si="2"/>
        <v>169</v>
      </c>
      <c r="F23" s="96"/>
      <c r="G23" s="96">
        <f t="shared" si="6"/>
        <v>2.05</v>
      </c>
      <c r="H23" s="96">
        <f t="shared" si="4"/>
        <v>2.06</v>
      </c>
      <c r="I23" s="96">
        <f t="shared" si="5"/>
        <v>2.08</v>
      </c>
      <c r="J23" s="96"/>
      <c r="K23" s="96"/>
      <c r="L23" s="96"/>
      <c r="M23" s="96"/>
      <c r="N23" s="96"/>
      <c r="O23" s="96"/>
      <c r="P23" s="96"/>
      <c r="Q23" s="96"/>
      <c r="R23" s="96"/>
      <c r="S23" s="96"/>
      <c r="T23" s="96"/>
      <c r="U23" s="96"/>
      <c r="V23" s="96"/>
    </row>
    <row r="24">
      <c r="A24" s="97">
        <f t="shared" si="3"/>
        <v>20</v>
      </c>
      <c r="B24" s="66">
        <v>40.0</v>
      </c>
      <c r="C24" s="66">
        <v>143.0</v>
      </c>
      <c r="D24" s="66">
        <f t="shared" si="1"/>
        <v>128</v>
      </c>
      <c r="E24" s="66">
        <f t="shared" si="2"/>
        <v>312</v>
      </c>
      <c r="F24" s="96"/>
      <c r="G24" s="96">
        <f t="shared" ref="G24:G28" si="7">G23+0.07</f>
        <v>2.12</v>
      </c>
      <c r="H24" s="96">
        <f t="shared" si="4"/>
        <v>2.13</v>
      </c>
      <c r="I24" s="96">
        <f t="shared" si="5"/>
        <v>2.15</v>
      </c>
      <c r="J24" s="96"/>
      <c r="K24" s="96"/>
      <c r="L24" s="96"/>
      <c r="M24" s="96"/>
      <c r="N24" s="96"/>
      <c r="O24" s="96"/>
      <c r="P24" s="96"/>
      <c r="Q24" s="96"/>
      <c r="R24" s="96"/>
      <c r="S24" s="96"/>
      <c r="T24" s="96"/>
      <c r="U24" s="96"/>
      <c r="V24" s="96"/>
    </row>
    <row r="25">
      <c r="A25" s="97">
        <f t="shared" si="3"/>
        <v>21</v>
      </c>
      <c r="B25" s="66">
        <v>40.0</v>
      </c>
      <c r="C25" s="66">
        <v>143.0</v>
      </c>
      <c r="D25" s="66">
        <f t="shared" si="1"/>
        <v>168</v>
      </c>
      <c r="E25" s="66">
        <f t="shared" si="2"/>
        <v>455</v>
      </c>
      <c r="F25" s="96"/>
      <c r="G25" s="96">
        <f t="shared" si="7"/>
        <v>2.19</v>
      </c>
      <c r="H25" s="96">
        <f t="shared" si="4"/>
        <v>2.2</v>
      </c>
      <c r="I25" s="96">
        <f t="shared" si="5"/>
        <v>2.22</v>
      </c>
      <c r="J25" s="96"/>
      <c r="K25" s="96"/>
      <c r="L25" s="96"/>
      <c r="M25" s="96"/>
      <c r="N25" s="96"/>
      <c r="O25" s="96"/>
      <c r="P25" s="96"/>
      <c r="Q25" s="96"/>
      <c r="R25" s="96"/>
      <c r="S25" s="96"/>
      <c r="T25" s="96"/>
      <c r="U25" s="96"/>
      <c r="V25" s="96"/>
    </row>
    <row r="26">
      <c r="A26" s="97">
        <f t="shared" si="3"/>
        <v>22</v>
      </c>
      <c r="B26" s="66">
        <v>40.0</v>
      </c>
      <c r="C26" s="66">
        <v>143.0</v>
      </c>
      <c r="D26" s="66">
        <f t="shared" si="1"/>
        <v>208</v>
      </c>
      <c r="E26" s="66">
        <f t="shared" si="2"/>
        <v>598</v>
      </c>
      <c r="F26" s="96"/>
      <c r="G26" s="96">
        <f t="shared" si="7"/>
        <v>2.26</v>
      </c>
      <c r="H26" s="96">
        <f t="shared" si="4"/>
        <v>2.27</v>
      </c>
      <c r="I26" s="96">
        <f t="shared" si="5"/>
        <v>2.29</v>
      </c>
      <c r="J26" s="96"/>
      <c r="K26" s="96"/>
      <c r="L26" s="96"/>
      <c r="M26" s="96"/>
      <c r="N26" s="96"/>
      <c r="O26" s="96"/>
      <c r="P26" s="96"/>
      <c r="Q26" s="96"/>
      <c r="R26" s="96"/>
      <c r="S26" s="96"/>
      <c r="T26" s="96"/>
      <c r="U26" s="96"/>
      <c r="V26" s="96"/>
    </row>
    <row r="27">
      <c r="A27" s="97">
        <f t="shared" si="3"/>
        <v>23</v>
      </c>
      <c r="B27" s="66">
        <v>40.0</v>
      </c>
      <c r="C27" s="66">
        <v>143.0</v>
      </c>
      <c r="D27" s="66">
        <f t="shared" si="1"/>
        <v>248</v>
      </c>
      <c r="E27" s="66">
        <f t="shared" si="2"/>
        <v>741</v>
      </c>
      <c r="F27" s="96"/>
      <c r="G27" s="96">
        <f t="shared" si="7"/>
        <v>2.33</v>
      </c>
      <c r="H27" s="96">
        <f t="shared" si="4"/>
        <v>2.34</v>
      </c>
      <c r="I27" s="96">
        <f t="shared" si="5"/>
        <v>2.36</v>
      </c>
      <c r="J27" s="96"/>
      <c r="K27" s="96"/>
      <c r="L27" s="96"/>
      <c r="M27" s="96"/>
      <c r="N27" s="96"/>
      <c r="O27" s="96"/>
      <c r="P27" s="96"/>
      <c r="Q27" s="96"/>
      <c r="R27" s="96"/>
      <c r="S27" s="96"/>
      <c r="T27" s="96"/>
      <c r="U27" s="94">
        <v>1.157</v>
      </c>
      <c r="V27" s="96">
        <f t="shared" ref="V27:V36" si="8">U27+0.01</f>
        <v>1.167</v>
      </c>
    </row>
    <row r="28">
      <c r="A28" s="97">
        <f t="shared" si="3"/>
        <v>24</v>
      </c>
      <c r="B28" s="66">
        <v>40.0</v>
      </c>
      <c r="C28" s="66">
        <v>143.0</v>
      </c>
      <c r="D28" s="66">
        <f t="shared" si="1"/>
        <v>288</v>
      </c>
      <c r="E28" s="66">
        <f t="shared" si="2"/>
        <v>884</v>
      </c>
      <c r="F28" s="96"/>
      <c r="G28" s="96">
        <f t="shared" si="7"/>
        <v>2.4</v>
      </c>
      <c r="H28" s="96">
        <f t="shared" si="4"/>
        <v>2.41</v>
      </c>
      <c r="I28" s="96">
        <f t="shared" si="5"/>
        <v>2.43</v>
      </c>
      <c r="J28" s="96"/>
      <c r="K28" s="96"/>
      <c r="L28" s="96"/>
      <c r="M28" s="94">
        <v>2.521</v>
      </c>
      <c r="N28" s="94"/>
      <c r="O28" s="94"/>
      <c r="P28" s="96"/>
      <c r="Q28" s="96"/>
      <c r="R28" s="96"/>
      <c r="S28" s="96"/>
      <c r="T28" s="96"/>
      <c r="U28" s="94">
        <v>1.162</v>
      </c>
      <c r="V28" s="96">
        <f t="shared" si="8"/>
        <v>1.172</v>
      </c>
    </row>
    <row r="29">
      <c r="A29" s="97">
        <f t="shared" si="3"/>
        <v>25</v>
      </c>
      <c r="B29" s="66">
        <v>50.0</v>
      </c>
      <c r="C29" s="66">
        <v>143.0</v>
      </c>
      <c r="D29" s="66">
        <f t="shared" si="1"/>
        <v>338</v>
      </c>
      <c r="E29" s="66">
        <f t="shared" si="2"/>
        <v>1027</v>
      </c>
      <c r="F29" s="96">
        <f>G30-G28</f>
        <v>0.151</v>
      </c>
      <c r="G29" s="96">
        <f>G28+0.075</f>
        <v>2.475</v>
      </c>
      <c r="H29" s="96">
        <f t="shared" si="4"/>
        <v>2.485</v>
      </c>
      <c r="I29" s="96">
        <f t="shared" si="5"/>
        <v>2.505</v>
      </c>
      <c r="J29" s="96"/>
      <c r="K29" s="96">
        <f t="shared" ref="K29:K33" si="9">M29-M28</f>
        <v>0.07</v>
      </c>
      <c r="L29" s="96"/>
      <c r="M29" s="94">
        <v>2.591</v>
      </c>
      <c r="N29" s="94"/>
      <c r="O29" s="94"/>
      <c r="P29" s="96"/>
      <c r="Q29" s="96"/>
      <c r="R29" s="96"/>
      <c r="S29" s="96"/>
      <c r="T29" s="96"/>
      <c r="U29" s="94">
        <v>1.167</v>
      </c>
      <c r="V29" s="96">
        <f t="shared" si="8"/>
        <v>1.177</v>
      </c>
    </row>
    <row r="30">
      <c r="A30" s="97">
        <f t="shared" si="3"/>
        <v>26</v>
      </c>
      <c r="B30" s="66">
        <v>50.0</v>
      </c>
      <c r="C30" s="66">
        <v>143.0</v>
      </c>
      <c r="D30" s="66">
        <f t="shared" si="1"/>
        <v>388</v>
      </c>
      <c r="E30" s="66">
        <f t="shared" si="2"/>
        <v>1170</v>
      </c>
      <c r="F30" s="94"/>
      <c r="G30" s="94">
        <v>2.551</v>
      </c>
      <c r="H30" s="96">
        <f t="shared" si="4"/>
        <v>2.561</v>
      </c>
      <c r="I30" s="96">
        <f t="shared" si="5"/>
        <v>2.581</v>
      </c>
      <c r="J30" s="96"/>
      <c r="K30" s="96">
        <f t="shared" si="9"/>
        <v>0.07</v>
      </c>
      <c r="L30" s="96"/>
      <c r="M30" s="94">
        <v>2.661</v>
      </c>
      <c r="N30" s="94"/>
      <c r="O30" s="94"/>
      <c r="P30" s="96"/>
      <c r="Q30" s="94">
        <v>2.57</v>
      </c>
      <c r="R30" s="96"/>
      <c r="S30" s="96"/>
      <c r="T30" s="96"/>
      <c r="U30" s="94">
        <v>1.172</v>
      </c>
      <c r="V30" s="96">
        <f t="shared" si="8"/>
        <v>1.182</v>
      </c>
    </row>
    <row r="31">
      <c r="A31" s="97">
        <f t="shared" si="3"/>
        <v>27</v>
      </c>
      <c r="B31" s="66">
        <v>50.0</v>
      </c>
      <c r="C31" s="66">
        <v>143.0</v>
      </c>
      <c r="D31" s="66">
        <f t="shared" si="1"/>
        <v>438</v>
      </c>
      <c r="E31" s="66">
        <f t="shared" si="2"/>
        <v>1313</v>
      </c>
      <c r="F31" s="96">
        <f t="shared" ref="F31:F46" si="10">G31-G30</f>
        <v>0.075</v>
      </c>
      <c r="G31" s="94">
        <v>2.626</v>
      </c>
      <c r="H31" s="96">
        <f t="shared" si="4"/>
        <v>2.636</v>
      </c>
      <c r="I31" s="96">
        <f t="shared" si="5"/>
        <v>2.656</v>
      </c>
      <c r="J31" s="96"/>
      <c r="K31" s="96">
        <f t="shared" si="9"/>
        <v>0.07</v>
      </c>
      <c r="L31" s="96"/>
      <c r="M31" s="94">
        <v>2.731</v>
      </c>
      <c r="N31" s="94"/>
      <c r="O31" s="94"/>
      <c r="P31" s="96"/>
      <c r="Q31" s="96"/>
      <c r="R31" s="96"/>
      <c r="S31" s="96"/>
      <c r="T31" s="96"/>
      <c r="U31" s="94">
        <v>1.177</v>
      </c>
      <c r="V31" s="96">
        <f t="shared" si="8"/>
        <v>1.187</v>
      </c>
    </row>
    <row r="32">
      <c r="A32" s="97">
        <f t="shared" si="3"/>
        <v>28</v>
      </c>
      <c r="B32" s="66">
        <v>50.0</v>
      </c>
      <c r="C32" s="66">
        <v>143.0</v>
      </c>
      <c r="D32" s="66">
        <f t="shared" si="1"/>
        <v>488</v>
      </c>
      <c r="E32" s="66">
        <f t="shared" si="2"/>
        <v>1456</v>
      </c>
      <c r="F32" s="96">
        <f t="shared" si="10"/>
        <v>0.075</v>
      </c>
      <c r="G32" s="94">
        <v>2.701</v>
      </c>
      <c r="H32" s="96">
        <f t="shared" si="4"/>
        <v>2.711</v>
      </c>
      <c r="I32" s="96">
        <f t="shared" si="5"/>
        <v>2.731</v>
      </c>
      <c r="J32" s="96"/>
      <c r="K32" s="96">
        <f t="shared" si="9"/>
        <v>0.07</v>
      </c>
      <c r="L32" s="96"/>
      <c r="M32" s="94">
        <v>2.801</v>
      </c>
      <c r="N32" s="94"/>
      <c r="O32" s="94"/>
      <c r="P32" s="96"/>
      <c r="Q32" s="94">
        <v>2.73</v>
      </c>
      <c r="R32" s="96"/>
      <c r="S32" s="96"/>
      <c r="T32" s="96"/>
      <c r="U32" s="94">
        <v>1.182</v>
      </c>
      <c r="V32" s="96">
        <f t="shared" si="8"/>
        <v>1.192</v>
      </c>
    </row>
    <row r="33">
      <c r="A33" s="97">
        <f t="shared" si="3"/>
        <v>29</v>
      </c>
      <c r="B33" s="66">
        <v>50.0</v>
      </c>
      <c r="C33" s="66">
        <v>143.0</v>
      </c>
      <c r="D33" s="66">
        <f t="shared" si="1"/>
        <v>538</v>
      </c>
      <c r="E33" s="66">
        <f t="shared" si="2"/>
        <v>1599</v>
      </c>
      <c r="F33" s="96">
        <f t="shared" si="10"/>
        <v>0.075</v>
      </c>
      <c r="G33" s="94">
        <v>2.776</v>
      </c>
      <c r="H33" s="94">
        <v>2.786</v>
      </c>
      <c r="I33" s="96">
        <f t="shared" si="5"/>
        <v>2.806</v>
      </c>
      <c r="J33" s="96"/>
      <c r="K33" s="96">
        <f t="shared" si="9"/>
        <v>0.07</v>
      </c>
      <c r="L33" s="94">
        <v>2.84</v>
      </c>
      <c r="M33" s="94">
        <v>2.871</v>
      </c>
      <c r="N33" s="94"/>
      <c r="O33" s="94"/>
      <c r="P33" s="96"/>
      <c r="Q33" s="94">
        <v>2.81</v>
      </c>
      <c r="R33" s="96"/>
      <c r="S33" s="96"/>
      <c r="T33" s="96"/>
      <c r="U33" s="94">
        <v>1.187</v>
      </c>
      <c r="V33" s="96">
        <f t="shared" si="8"/>
        <v>1.197</v>
      </c>
    </row>
    <row r="34">
      <c r="A34" s="97">
        <f t="shared" si="3"/>
        <v>30</v>
      </c>
      <c r="B34" s="66">
        <v>74.0</v>
      </c>
      <c r="C34" s="66">
        <v>143.0</v>
      </c>
      <c r="D34" s="66">
        <f t="shared" si="1"/>
        <v>612</v>
      </c>
      <c r="E34" s="66">
        <f t="shared" si="2"/>
        <v>1742</v>
      </c>
      <c r="F34" s="96">
        <f t="shared" si="10"/>
        <v>0.075</v>
      </c>
      <c r="G34" s="94">
        <v>2.851</v>
      </c>
      <c r="H34" s="94">
        <v>2.861</v>
      </c>
      <c r="I34" s="96">
        <f t="shared" si="5"/>
        <v>2.881</v>
      </c>
      <c r="J34" s="96"/>
      <c r="K34" s="96"/>
      <c r="L34" s="94">
        <v>2.91</v>
      </c>
      <c r="M34" s="94">
        <v>2.941</v>
      </c>
      <c r="N34" s="94"/>
      <c r="O34" s="94"/>
      <c r="P34" s="96"/>
      <c r="Q34" s="94">
        <v>2.89</v>
      </c>
      <c r="R34" s="96"/>
      <c r="S34" s="96"/>
      <c r="T34" s="96"/>
      <c r="U34" s="94">
        <v>1.192</v>
      </c>
      <c r="V34" s="96">
        <f t="shared" si="8"/>
        <v>1.202</v>
      </c>
    </row>
    <row r="35">
      <c r="A35" s="97">
        <f t="shared" si="3"/>
        <v>31</v>
      </c>
      <c r="B35" s="66">
        <v>74.0</v>
      </c>
      <c r="C35" s="66">
        <v>143.0</v>
      </c>
      <c r="D35" s="66">
        <f t="shared" si="1"/>
        <v>686</v>
      </c>
      <c r="E35" s="66">
        <f t="shared" si="2"/>
        <v>1885</v>
      </c>
      <c r="F35" s="96">
        <f t="shared" si="10"/>
        <v>0.075</v>
      </c>
      <c r="G35" s="94">
        <v>2.926</v>
      </c>
      <c r="H35" s="94">
        <v>2.936</v>
      </c>
      <c r="I35" s="96">
        <f t="shared" si="5"/>
        <v>2.956</v>
      </c>
      <c r="J35" s="96"/>
      <c r="K35" s="96"/>
      <c r="L35" s="94">
        <v>2.98</v>
      </c>
      <c r="M35" s="94">
        <v>3.011</v>
      </c>
      <c r="N35" s="94"/>
      <c r="O35" s="94"/>
      <c r="P35" s="96"/>
      <c r="Q35" s="94">
        <v>2.97</v>
      </c>
      <c r="R35" s="96"/>
      <c r="S35" s="96"/>
      <c r="T35" s="96"/>
      <c r="U35" s="94">
        <v>1.197</v>
      </c>
      <c r="V35" s="96">
        <f t="shared" si="8"/>
        <v>1.207</v>
      </c>
    </row>
    <row r="36">
      <c r="A36" s="97">
        <f t="shared" si="3"/>
        <v>32</v>
      </c>
      <c r="B36" s="66">
        <v>74.0</v>
      </c>
      <c r="C36" s="66">
        <v>143.0</v>
      </c>
      <c r="D36" s="66">
        <f t="shared" si="1"/>
        <v>760</v>
      </c>
      <c r="E36" s="66">
        <f t="shared" si="2"/>
        <v>2028</v>
      </c>
      <c r="F36" s="96">
        <f t="shared" si="10"/>
        <v>0.075</v>
      </c>
      <c r="G36" s="94">
        <v>3.001</v>
      </c>
      <c r="H36" s="94">
        <v>3.011</v>
      </c>
      <c r="I36" s="96">
        <f t="shared" si="5"/>
        <v>3.031</v>
      </c>
      <c r="J36" s="96"/>
      <c r="K36" s="96"/>
      <c r="L36" s="94">
        <v>3.05</v>
      </c>
      <c r="M36" s="94">
        <v>3.081</v>
      </c>
      <c r="N36" s="94"/>
      <c r="O36" s="94"/>
      <c r="P36" s="96"/>
      <c r="Q36" s="94">
        <v>3.05</v>
      </c>
      <c r="R36" s="96"/>
      <c r="S36" s="96"/>
      <c r="T36" s="96"/>
      <c r="U36" s="94">
        <v>1.202</v>
      </c>
      <c r="V36" s="96">
        <f t="shared" si="8"/>
        <v>1.212</v>
      </c>
    </row>
    <row r="37">
      <c r="A37" s="97">
        <f t="shared" si="3"/>
        <v>33</v>
      </c>
      <c r="B37" s="66">
        <v>74.0</v>
      </c>
      <c r="C37" s="66">
        <v>143.0</v>
      </c>
      <c r="D37" s="66">
        <f t="shared" si="1"/>
        <v>834</v>
      </c>
      <c r="E37" s="66">
        <f t="shared" si="2"/>
        <v>2171</v>
      </c>
      <c r="F37" s="96">
        <f t="shared" si="10"/>
        <v>0.075</v>
      </c>
      <c r="G37" s="94">
        <v>3.076</v>
      </c>
      <c r="H37" s="94">
        <v>3.086</v>
      </c>
      <c r="I37" s="96">
        <f t="shared" si="5"/>
        <v>3.106</v>
      </c>
      <c r="J37" s="96"/>
      <c r="K37" s="96"/>
      <c r="L37" s="94">
        <v>3.12</v>
      </c>
      <c r="M37" s="94">
        <v>3.151</v>
      </c>
      <c r="N37" s="94">
        <v>3.201</v>
      </c>
      <c r="O37" s="94"/>
      <c r="P37" s="96"/>
      <c r="Q37" s="94">
        <v>3.13</v>
      </c>
      <c r="R37" s="96"/>
      <c r="S37" s="96"/>
      <c r="T37" s="96"/>
      <c r="U37" s="94">
        <v>1.207</v>
      </c>
      <c r="V37" s="94">
        <v>1.217</v>
      </c>
    </row>
    <row r="38">
      <c r="A38" s="97">
        <f t="shared" si="3"/>
        <v>34</v>
      </c>
      <c r="B38" s="66">
        <v>74.0</v>
      </c>
      <c r="C38" s="66">
        <v>143.0</v>
      </c>
      <c r="D38" s="66">
        <f t="shared" si="1"/>
        <v>908</v>
      </c>
      <c r="E38" s="66">
        <f t="shared" si="2"/>
        <v>2314</v>
      </c>
      <c r="F38" s="96">
        <f t="shared" si="10"/>
        <v>0.075</v>
      </c>
      <c r="G38" s="94">
        <v>3.151</v>
      </c>
      <c r="H38" s="94">
        <v>3.161</v>
      </c>
      <c r="I38" s="96">
        <f t="shared" si="5"/>
        <v>3.181</v>
      </c>
      <c r="J38" s="96"/>
      <c r="K38" s="96"/>
      <c r="L38" s="94">
        <v>3.19</v>
      </c>
      <c r="M38" s="96">
        <f t="shared" ref="M38:M52" si="11">N38-0.05</f>
        <v>3.221</v>
      </c>
      <c r="N38" s="94">
        <v>3.271</v>
      </c>
      <c r="O38" s="94"/>
      <c r="P38" s="96"/>
      <c r="Q38" s="94">
        <v>3.21</v>
      </c>
      <c r="R38" s="96"/>
      <c r="S38" s="96"/>
      <c r="T38" s="96"/>
      <c r="U38" s="94">
        <v>1.212</v>
      </c>
      <c r="V38" s="96">
        <f t="shared" ref="V38:V50" si="12">U38+0.01</f>
        <v>1.222</v>
      </c>
    </row>
    <row r="39">
      <c r="A39" s="97">
        <f t="shared" si="3"/>
        <v>35</v>
      </c>
      <c r="B39" s="66">
        <v>89.0</v>
      </c>
      <c r="C39" s="66">
        <v>536.0</v>
      </c>
      <c r="D39" s="66">
        <f t="shared" si="1"/>
        <v>997</v>
      </c>
      <c r="E39" s="66">
        <f t="shared" si="2"/>
        <v>2850</v>
      </c>
      <c r="F39" s="96">
        <f t="shared" si="10"/>
        <v>0.08</v>
      </c>
      <c r="G39" s="94">
        <v>3.231</v>
      </c>
      <c r="H39" s="96">
        <f t="shared" ref="H39:H54" si="13">G39+0.01</f>
        <v>3.241</v>
      </c>
      <c r="I39" s="96">
        <f t="shared" si="5"/>
        <v>3.261</v>
      </c>
      <c r="J39" s="96"/>
      <c r="K39" s="96"/>
      <c r="L39" s="96">
        <f t="shared" ref="L39:L52" si="14">M39-0.031</f>
        <v>3.27</v>
      </c>
      <c r="M39" s="96">
        <f t="shared" si="11"/>
        <v>3.301</v>
      </c>
      <c r="N39" s="94">
        <v>3.351</v>
      </c>
      <c r="O39" s="94"/>
      <c r="P39" s="96"/>
      <c r="Q39" s="94">
        <v>3.3</v>
      </c>
      <c r="R39" s="94">
        <v>3.32</v>
      </c>
      <c r="S39" s="96"/>
      <c r="T39" s="96"/>
      <c r="U39" s="94">
        <v>1.217</v>
      </c>
      <c r="V39" s="96">
        <f t="shared" si="12"/>
        <v>1.227</v>
      </c>
    </row>
    <row r="40">
      <c r="A40" s="97">
        <f t="shared" si="3"/>
        <v>36</v>
      </c>
      <c r="B40" s="66">
        <v>89.0</v>
      </c>
      <c r="C40" s="66">
        <v>536.0</v>
      </c>
      <c r="D40" s="66">
        <f t="shared" si="1"/>
        <v>1086</v>
      </c>
      <c r="E40" s="66">
        <f t="shared" si="2"/>
        <v>3386</v>
      </c>
      <c r="F40" s="96">
        <f t="shared" si="10"/>
        <v>0.08</v>
      </c>
      <c r="G40" s="94">
        <v>3.311</v>
      </c>
      <c r="H40" s="96">
        <f t="shared" si="13"/>
        <v>3.321</v>
      </c>
      <c r="I40" s="96">
        <f t="shared" si="5"/>
        <v>3.341</v>
      </c>
      <c r="J40" s="96"/>
      <c r="K40" s="96"/>
      <c r="L40" s="96">
        <f t="shared" si="14"/>
        <v>3.35</v>
      </c>
      <c r="M40" s="96">
        <f t="shared" si="11"/>
        <v>3.381</v>
      </c>
      <c r="N40" s="94">
        <v>3.431</v>
      </c>
      <c r="O40" s="94"/>
      <c r="P40" s="96"/>
      <c r="Q40" s="94">
        <v>3.39</v>
      </c>
      <c r="R40" s="94">
        <v>3.41</v>
      </c>
      <c r="S40" s="96"/>
      <c r="T40" s="96"/>
      <c r="U40" s="94">
        <v>1.222</v>
      </c>
      <c r="V40" s="96">
        <f t="shared" si="12"/>
        <v>1.232</v>
      </c>
    </row>
    <row r="41">
      <c r="A41" s="97">
        <f t="shared" si="3"/>
        <v>37</v>
      </c>
      <c r="B41" s="66">
        <v>89.0</v>
      </c>
      <c r="C41" s="66">
        <v>536.0</v>
      </c>
      <c r="D41" s="66">
        <f t="shared" si="1"/>
        <v>1175</v>
      </c>
      <c r="E41" s="66">
        <f t="shared" si="2"/>
        <v>3922</v>
      </c>
      <c r="F41" s="96">
        <f t="shared" si="10"/>
        <v>0.08</v>
      </c>
      <c r="G41" s="94">
        <v>3.391</v>
      </c>
      <c r="H41" s="96">
        <f t="shared" si="13"/>
        <v>3.401</v>
      </c>
      <c r="I41" s="94">
        <v>3.421</v>
      </c>
      <c r="J41" s="96"/>
      <c r="K41" s="96"/>
      <c r="L41" s="96">
        <f t="shared" si="14"/>
        <v>3.43</v>
      </c>
      <c r="M41" s="96">
        <f t="shared" si="11"/>
        <v>3.461</v>
      </c>
      <c r="N41" s="94">
        <v>3.511</v>
      </c>
      <c r="O41" s="94"/>
      <c r="P41" s="96"/>
      <c r="Q41" s="94">
        <v>3.48</v>
      </c>
      <c r="R41" s="94">
        <v>3.5</v>
      </c>
      <c r="S41" s="96"/>
      <c r="T41" s="96"/>
      <c r="U41" s="94">
        <v>1.227</v>
      </c>
      <c r="V41" s="96">
        <f t="shared" si="12"/>
        <v>1.237</v>
      </c>
    </row>
    <row r="42">
      <c r="A42" s="97">
        <f t="shared" si="3"/>
        <v>38</v>
      </c>
      <c r="B42" s="66">
        <v>89.0</v>
      </c>
      <c r="C42" s="66">
        <v>536.0</v>
      </c>
      <c r="D42" s="66">
        <f t="shared" si="1"/>
        <v>1264</v>
      </c>
      <c r="E42" s="66">
        <f t="shared" si="2"/>
        <v>4458</v>
      </c>
      <c r="F42" s="96">
        <f t="shared" si="10"/>
        <v>0.08</v>
      </c>
      <c r="G42" s="94">
        <v>3.471</v>
      </c>
      <c r="H42" s="96">
        <f t="shared" si="13"/>
        <v>3.481</v>
      </c>
      <c r="I42" s="94">
        <v>3.501</v>
      </c>
      <c r="J42" s="96"/>
      <c r="K42" s="96"/>
      <c r="L42" s="96">
        <f t="shared" si="14"/>
        <v>3.51</v>
      </c>
      <c r="M42" s="96">
        <f t="shared" si="11"/>
        <v>3.541</v>
      </c>
      <c r="N42" s="94">
        <v>3.591</v>
      </c>
      <c r="O42" s="94"/>
      <c r="P42" s="96"/>
      <c r="Q42" s="94">
        <v>3.57</v>
      </c>
      <c r="R42" s="94">
        <v>3.59</v>
      </c>
      <c r="S42" s="96"/>
      <c r="T42" s="96"/>
      <c r="U42" s="94">
        <v>1.232</v>
      </c>
      <c r="V42" s="96">
        <f t="shared" si="12"/>
        <v>1.242</v>
      </c>
    </row>
    <row r="43">
      <c r="A43" s="97">
        <f t="shared" si="3"/>
        <v>39</v>
      </c>
      <c r="B43" s="66">
        <v>89.0</v>
      </c>
      <c r="C43" s="66">
        <v>536.0</v>
      </c>
      <c r="D43" s="66">
        <f t="shared" si="1"/>
        <v>1353</v>
      </c>
      <c r="E43" s="66">
        <f t="shared" si="2"/>
        <v>4994</v>
      </c>
      <c r="F43" s="96">
        <f t="shared" si="10"/>
        <v>0.08</v>
      </c>
      <c r="G43" s="96">
        <f>I43-0.03</f>
        <v>3.551</v>
      </c>
      <c r="H43" s="96">
        <f t="shared" si="13"/>
        <v>3.561</v>
      </c>
      <c r="I43" s="94">
        <v>3.581</v>
      </c>
      <c r="J43" s="96"/>
      <c r="K43" s="96"/>
      <c r="L43" s="96">
        <f t="shared" si="14"/>
        <v>3.59</v>
      </c>
      <c r="M43" s="96">
        <f t="shared" si="11"/>
        <v>3.621</v>
      </c>
      <c r="N43" s="94">
        <v>3.671</v>
      </c>
      <c r="O43" s="94"/>
      <c r="P43" s="96"/>
      <c r="Q43" s="94">
        <v>3.66</v>
      </c>
      <c r="R43" s="94">
        <v>3.68</v>
      </c>
      <c r="S43" s="96"/>
      <c r="T43" s="96"/>
      <c r="U43" s="94">
        <v>1.237</v>
      </c>
      <c r="V43" s="96">
        <f t="shared" si="12"/>
        <v>1.247</v>
      </c>
    </row>
    <row r="44">
      <c r="A44" s="97">
        <f t="shared" si="3"/>
        <v>40</v>
      </c>
      <c r="B44" s="66">
        <v>89.0</v>
      </c>
      <c r="C44" s="66">
        <v>1070.0</v>
      </c>
      <c r="D44" s="66">
        <f t="shared" si="1"/>
        <v>1442</v>
      </c>
      <c r="E44" s="66">
        <f t="shared" si="2"/>
        <v>6064</v>
      </c>
      <c r="F44" s="96">
        <f t="shared" si="10"/>
        <v>0.085</v>
      </c>
      <c r="G44" s="94">
        <v>3.636</v>
      </c>
      <c r="H44" s="96">
        <f t="shared" si="13"/>
        <v>3.646</v>
      </c>
      <c r="I44" s="94">
        <v>3.666</v>
      </c>
      <c r="J44" s="96"/>
      <c r="K44" s="96"/>
      <c r="L44" s="96">
        <f t="shared" si="14"/>
        <v>3.673</v>
      </c>
      <c r="M44" s="96">
        <f t="shared" si="11"/>
        <v>3.704</v>
      </c>
      <c r="N44" s="94">
        <v>3.754</v>
      </c>
      <c r="O44" s="94"/>
      <c r="P44" s="96"/>
      <c r="Q44" s="94">
        <v>3.76</v>
      </c>
      <c r="R44" s="94">
        <v>3.78</v>
      </c>
      <c r="S44" s="96"/>
      <c r="T44" s="96"/>
      <c r="U44" s="94">
        <v>1.242</v>
      </c>
      <c r="V44" s="96">
        <f t="shared" si="12"/>
        <v>1.252</v>
      </c>
    </row>
    <row r="45">
      <c r="A45" s="97">
        <f t="shared" si="3"/>
        <v>41</v>
      </c>
      <c r="B45" s="66">
        <v>119.0</v>
      </c>
      <c r="C45" s="66">
        <v>1070.0</v>
      </c>
      <c r="D45" s="66">
        <f t="shared" si="1"/>
        <v>1561</v>
      </c>
      <c r="E45" s="66">
        <f t="shared" si="2"/>
        <v>7134</v>
      </c>
      <c r="F45" s="96">
        <f t="shared" si="10"/>
        <v>0.085</v>
      </c>
      <c r="G45" s="96">
        <f t="shared" ref="G45:G54" si="15">I45-0.03</f>
        <v>3.721</v>
      </c>
      <c r="H45" s="96">
        <f t="shared" si="13"/>
        <v>3.731</v>
      </c>
      <c r="I45" s="94">
        <v>3.751</v>
      </c>
      <c r="J45" s="96"/>
      <c r="K45" s="96"/>
      <c r="L45" s="96">
        <f t="shared" si="14"/>
        <v>3.756</v>
      </c>
      <c r="M45" s="96">
        <f t="shared" si="11"/>
        <v>3.787</v>
      </c>
      <c r="N45" s="94">
        <v>3.837</v>
      </c>
      <c r="O45" s="94"/>
      <c r="P45" s="96"/>
      <c r="Q45" s="94">
        <v>3.86</v>
      </c>
      <c r="R45" s="94">
        <v>3.88</v>
      </c>
      <c r="S45" s="96"/>
      <c r="T45" s="96"/>
      <c r="U45" s="94">
        <v>1.247</v>
      </c>
      <c r="V45" s="96">
        <f t="shared" si="12"/>
        <v>1.257</v>
      </c>
    </row>
    <row r="46">
      <c r="A46" s="97">
        <f t="shared" si="3"/>
        <v>42</v>
      </c>
      <c r="B46" s="66">
        <v>119.0</v>
      </c>
      <c r="C46" s="66">
        <v>1070.0</v>
      </c>
      <c r="D46" s="66">
        <f t="shared" si="1"/>
        <v>1680</v>
      </c>
      <c r="E46" s="66">
        <f t="shared" si="2"/>
        <v>8204</v>
      </c>
      <c r="F46" s="96">
        <f t="shared" si="10"/>
        <v>0.085</v>
      </c>
      <c r="G46" s="96">
        <f t="shared" si="15"/>
        <v>3.806</v>
      </c>
      <c r="H46" s="96">
        <f t="shared" si="13"/>
        <v>3.816</v>
      </c>
      <c r="I46" s="94">
        <v>3.836</v>
      </c>
      <c r="J46" s="96"/>
      <c r="K46" s="96"/>
      <c r="L46" s="96">
        <f t="shared" si="14"/>
        <v>3.839</v>
      </c>
      <c r="M46" s="96">
        <f t="shared" si="11"/>
        <v>3.87</v>
      </c>
      <c r="N46" s="94">
        <v>3.92</v>
      </c>
      <c r="O46" s="94"/>
      <c r="P46" s="96"/>
      <c r="Q46" s="94">
        <v>3.96</v>
      </c>
      <c r="R46" s="94">
        <v>3.98</v>
      </c>
      <c r="S46" s="96"/>
      <c r="T46" s="96"/>
      <c r="U46" s="94">
        <v>1.252</v>
      </c>
      <c r="V46" s="96">
        <f t="shared" si="12"/>
        <v>1.262</v>
      </c>
    </row>
    <row r="47">
      <c r="A47" s="97">
        <f t="shared" si="3"/>
        <v>43</v>
      </c>
      <c r="B47" s="66">
        <v>119.0</v>
      </c>
      <c r="C47" s="66">
        <v>1070.0</v>
      </c>
      <c r="D47" s="66">
        <f t="shared" si="1"/>
        <v>1799</v>
      </c>
      <c r="E47" s="66">
        <f t="shared" si="2"/>
        <v>9274</v>
      </c>
      <c r="F47" s="96"/>
      <c r="G47" s="96">
        <f t="shared" si="15"/>
        <v>3.891</v>
      </c>
      <c r="H47" s="96">
        <f t="shared" si="13"/>
        <v>3.901</v>
      </c>
      <c r="I47" s="94">
        <v>3.921</v>
      </c>
      <c r="J47" s="96"/>
      <c r="K47" s="96"/>
      <c r="L47" s="96">
        <f t="shared" si="14"/>
        <v>3.922</v>
      </c>
      <c r="M47" s="96">
        <f t="shared" si="11"/>
        <v>3.953</v>
      </c>
      <c r="N47" s="94">
        <v>4.003</v>
      </c>
      <c r="O47" s="94"/>
      <c r="P47" s="96"/>
      <c r="Q47" s="94">
        <v>4.06</v>
      </c>
      <c r="R47" s="96">
        <f t="shared" ref="R47:R55" si="16">Q47+0.02</f>
        <v>4.08</v>
      </c>
      <c r="S47" s="96"/>
      <c r="T47" s="96"/>
      <c r="U47" s="94">
        <v>1.257</v>
      </c>
      <c r="V47" s="96">
        <f t="shared" si="12"/>
        <v>1.267</v>
      </c>
    </row>
    <row r="48">
      <c r="A48" s="97">
        <f t="shared" si="3"/>
        <v>44</v>
      </c>
      <c r="B48" s="66">
        <v>119.0</v>
      </c>
      <c r="C48" s="66">
        <v>1070.0</v>
      </c>
      <c r="D48" s="66">
        <f t="shared" si="1"/>
        <v>1918</v>
      </c>
      <c r="E48" s="66">
        <f t="shared" si="2"/>
        <v>10344</v>
      </c>
      <c r="F48" s="96"/>
      <c r="G48" s="96">
        <f t="shared" si="15"/>
        <v>3.976</v>
      </c>
      <c r="H48" s="96">
        <f t="shared" si="13"/>
        <v>3.986</v>
      </c>
      <c r="I48" s="94">
        <v>4.006</v>
      </c>
      <c r="J48" s="96"/>
      <c r="K48" s="96"/>
      <c r="L48" s="96">
        <f t="shared" si="14"/>
        <v>4.005</v>
      </c>
      <c r="M48" s="96">
        <f t="shared" si="11"/>
        <v>4.036</v>
      </c>
      <c r="N48" s="94">
        <v>4.086</v>
      </c>
      <c r="O48" s="94"/>
      <c r="P48" s="96"/>
      <c r="Q48" s="94">
        <v>4.16</v>
      </c>
      <c r="R48" s="96">
        <f t="shared" si="16"/>
        <v>4.18</v>
      </c>
      <c r="S48" s="96"/>
      <c r="T48" s="96"/>
      <c r="U48" s="94">
        <v>1.262</v>
      </c>
      <c r="V48" s="96">
        <f t="shared" si="12"/>
        <v>1.272</v>
      </c>
    </row>
    <row r="49">
      <c r="A49" s="97">
        <f t="shared" si="3"/>
        <v>45</v>
      </c>
      <c r="B49" s="66">
        <v>119.0</v>
      </c>
      <c r="C49" s="66">
        <v>1070.0</v>
      </c>
      <c r="D49" s="66">
        <f t="shared" si="1"/>
        <v>2037</v>
      </c>
      <c r="E49" s="66">
        <f t="shared" si="2"/>
        <v>11414</v>
      </c>
      <c r="F49" s="96"/>
      <c r="G49" s="96">
        <f t="shared" si="15"/>
        <v>4.061</v>
      </c>
      <c r="H49" s="96">
        <f t="shared" si="13"/>
        <v>4.071</v>
      </c>
      <c r="I49" s="94">
        <v>4.091</v>
      </c>
      <c r="J49" s="96"/>
      <c r="K49" s="96"/>
      <c r="L49" s="96">
        <f t="shared" si="14"/>
        <v>4.088</v>
      </c>
      <c r="M49" s="96">
        <f t="shared" si="11"/>
        <v>4.119</v>
      </c>
      <c r="N49" s="94">
        <v>4.169</v>
      </c>
      <c r="O49" s="94"/>
      <c r="P49" s="96"/>
      <c r="Q49" s="94">
        <v>4.26</v>
      </c>
      <c r="R49" s="96">
        <f t="shared" si="16"/>
        <v>4.28</v>
      </c>
      <c r="S49" s="96"/>
      <c r="T49" s="96"/>
      <c r="U49" s="94">
        <v>1.267</v>
      </c>
      <c r="V49" s="96">
        <f t="shared" si="12"/>
        <v>1.277</v>
      </c>
    </row>
    <row r="50">
      <c r="A50" s="97">
        <f t="shared" si="3"/>
        <v>46</v>
      </c>
      <c r="B50" s="66">
        <v>119.0</v>
      </c>
      <c r="C50" s="66">
        <v>1070.0</v>
      </c>
      <c r="D50" s="66">
        <f t="shared" si="1"/>
        <v>2156</v>
      </c>
      <c r="E50" s="66">
        <f t="shared" si="2"/>
        <v>12484</v>
      </c>
      <c r="F50" s="96"/>
      <c r="G50" s="96">
        <f t="shared" si="15"/>
        <v>4.146</v>
      </c>
      <c r="H50" s="96">
        <f t="shared" si="13"/>
        <v>4.156</v>
      </c>
      <c r="I50" s="94">
        <v>4.176</v>
      </c>
      <c r="J50" s="96"/>
      <c r="K50" s="96"/>
      <c r="L50" s="96">
        <f t="shared" si="14"/>
        <v>4.171</v>
      </c>
      <c r="M50" s="96">
        <f t="shared" si="11"/>
        <v>4.202</v>
      </c>
      <c r="N50" s="94">
        <v>4.252</v>
      </c>
      <c r="O50" s="94"/>
      <c r="P50" s="96"/>
      <c r="Q50" s="94">
        <v>4.36</v>
      </c>
      <c r="R50" s="96">
        <f t="shared" si="16"/>
        <v>4.38</v>
      </c>
      <c r="S50" s="96"/>
      <c r="T50" s="96"/>
      <c r="U50" s="94">
        <v>1.272</v>
      </c>
      <c r="V50" s="96">
        <f t="shared" si="12"/>
        <v>1.282</v>
      </c>
      <c r="W50" s="4">
        <v>1.297</v>
      </c>
    </row>
    <row r="51">
      <c r="A51" s="97">
        <f t="shared" si="3"/>
        <v>47</v>
      </c>
      <c r="B51" s="66">
        <v>119.0</v>
      </c>
      <c r="C51" s="66">
        <v>1070.0</v>
      </c>
      <c r="D51" s="66">
        <f t="shared" si="1"/>
        <v>2275</v>
      </c>
      <c r="E51" s="66">
        <f t="shared" si="2"/>
        <v>13554</v>
      </c>
      <c r="F51" s="96"/>
      <c r="G51" s="96">
        <f t="shared" si="15"/>
        <v>4.231</v>
      </c>
      <c r="H51" s="96">
        <f t="shared" si="13"/>
        <v>4.241</v>
      </c>
      <c r="I51" s="94">
        <v>4.261</v>
      </c>
      <c r="J51" s="96"/>
      <c r="K51" s="96"/>
      <c r="L51" s="96">
        <f t="shared" si="14"/>
        <v>4.254</v>
      </c>
      <c r="M51" s="96">
        <f t="shared" si="11"/>
        <v>4.285</v>
      </c>
      <c r="N51" s="94">
        <v>4.335</v>
      </c>
      <c r="O51" s="94"/>
      <c r="P51" s="96"/>
      <c r="Q51" s="94">
        <v>4.46</v>
      </c>
      <c r="R51" s="96">
        <f t="shared" si="16"/>
        <v>4.48</v>
      </c>
      <c r="S51" s="96"/>
      <c r="T51" s="96"/>
      <c r="U51" s="96"/>
      <c r="V51" s="94">
        <v>1.287</v>
      </c>
    </row>
    <row r="52">
      <c r="A52" s="97">
        <f t="shared" si="3"/>
        <v>48</v>
      </c>
      <c r="B52" s="66">
        <v>119.0</v>
      </c>
      <c r="C52" s="66">
        <v>1070.0</v>
      </c>
      <c r="D52" s="66">
        <f t="shared" si="1"/>
        <v>2394</v>
      </c>
      <c r="E52" s="66">
        <f t="shared" si="2"/>
        <v>14624</v>
      </c>
      <c r="F52" s="96"/>
      <c r="G52" s="96">
        <f t="shared" si="15"/>
        <v>4.316</v>
      </c>
      <c r="H52" s="96">
        <f t="shared" si="13"/>
        <v>4.326</v>
      </c>
      <c r="I52" s="94">
        <v>4.346</v>
      </c>
      <c r="J52" s="96"/>
      <c r="K52" s="96"/>
      <c r="L52" s="96">
        <f t="shared" si="14"/>
        <v>4.337</v>
      </c>
      <c r="M52" s="96">
        <f t="shared" si="11"/>
        <v>4.368</v>
      </c>
      <c r="N52" s="94">
        <v>4.418</v>
      </c>
      <c r="O52" s="94">
        <v>4.463</v>
      </c>
      <c r="P52" s="96"/>
      <c r="Q52" s="94">
        <v>4.56</v>
      </c>
      <c r="R52" s="96">
        <f t="shared" si="16"/>
        <v>4.58</v>
      </c>
      <c r="S52" s="96"/>
      <c r="T52" s="96"/>
      <c r="U52" s="96"/>
      <c r="V52" s="94">
        <v>1.292</v>
      </c>
    </row>
    <row r="53">
      <c r="A53" s="97">
        <f t="shared" si="3"/>
        <v>49</v>
      </c>
      <c r="B53" s="66">
        <v>119.0</v>
      </c>
      <c r="C53" s="66">
        <v>5140.0</v>
      </c>
      <c r="D53" s="66">
        <f t="shared" si="1"/>
        <v>2513</v>
      </c>
      <c r="E53" s="66">
        <f t="shared" si="2"/>
        <v>19764</v>
      </c>
      <c r="F53" s="96"/>
      <c r="G53" s="96">
        <f t="shared" si="15"/>
        <v>4.401</v>
      </c>
      <c r="H53" s="96">
        <f t="shared" si="13"/>
        <v>4.411</v>
      </c>
      <c r="I53" s="94">
        <v>4.431</v>
      </c>
      <c r="J53" s="96"/>
      <c r="K53" s="96"/>
      <c r="L53" s="96"/>
      <c r="M53" s="96"/>
      <c r="N53" s="96"/>
      <c r="O53" s="94">
        <v>4.546</v>
      </c>
      <c r="P53" s="96"/>
      <c r="Q53" s="94">
        <v>4.66</v>
      </c>
      <c r="R53" s="96">
        <f t="shared" si="16"/>
        <v>4.68</v>
      </c>
      <c r="S53" s="96"/>
      <c r="T53" s="96"/>
      <c r="U53" s="96"/>
      <c r="V53" s="94">
        <v>1.297</v>
      </c>
    </row>
    <row r="54">
      <c r="A54" s="97">
        <f t="shared" si="3"/>
        <v>50</v>
      </c>
      <c r="B54" s="66">
        <v>178.0</v>
      </c>
      <c r="C54" s="66">
        <v>5140.0</v>
      </c>
      <c r="D54" s="66">
        <f t="shared" si="1"/>
        <v>2691</v>
      </c>
      <c r="E54" s="66">
        <f t="shared" si="2"/>
        <v>24904</v>
      </c>
      <c r="F54" s="96"/>
      <c r="G54" s="96">
        <f t="shared" si="15"/>
        <v>4.491</v>
      </c>
      <c r="H54" s="96">
        <f t="shared" si="13"/>
        <v>4.501</v>
      </c>
      <c r="I54" s="94">
        <v>4.521</v>
      </c>
      <c r="J54" s="96"/>
      <c r="K54" s="96"/>
      <c r="L54" s="96"/>
      <c r="M54" s="96"/>
      <c r="N54" s="96"/>
      <c r="O54" s="94">
        <v>4.631</v>
      </c>
      <c r="P54" s="96"/>
      <c r="Q54" s="94">
        <v>4.78</v>
      </c>
      <c r="R54" s="96">
        <f t="shared" si="16"/>
        <v>4.8</v>
      </c>
      <c r="S54" s="96"/>
      <c r="T54" s="96"/>
      <c r="U54" s="96"/>
      <c r="V54" s="94">
        <v>1.302</v>
      </c>
    </row>
    <row r="55">
      <c r="A55" s="97">
        <f t="shared" si="3"/>
        <v>51</v>
      </c>
      <c r="B55" s="66">
        <v>178.0</v>
      </c>
      <c r="C55" s="66">
        <v>5140.0</v>
      </c>
      <c r="D55" s="66">
        <f t="shared" si="1"/>
        <v>2869</v>
      </c>
      <c r="E55" s="66">
        <f t="shared" si="2"/>
        <v>30044</v>
      </c>
      <c r="F55" s="96"/>
      <c r="G55" s="96"/>
      <c r="H55" s="96"/>
      <c r="I55" s="94">
        <v>4.611</v>
      </c>
      <c r="J55" s="96"/>
      <c r="K55" s="96"/>
      <c r="L55" s="96"/>
      <c r="M55" s="96"/>
      <c r="N55" s="96"/>
      <c r="O55" s="94">
        <v>4.716</v>
      </c>
      <c r="P55" s="96"/>
      <c r="Q55" s="94">
        <v>4.9</v>
      </c>
      <c r="R55" s="96">
        <f t="shared" si="16"/>
        <v>4.92</v>
      </c>
      <c r="S55" s="94">
        <v>4.955</v>
      </c>
      <c r="T55" s="96"/>
      <c r="U55" s="96"/>
      <c r="V55" s="94">
        <v>1.307</v>
      </c>
    </row>
    <row r="56">
      <c r="A56" s="97">
        <f t="shared" si="3"/>
        <v>52</v>
      </c>
      <c r="B56" s="66">
        <v>178.0</v>
      </c>
      <c r="C56" s="66">
        <v>5140.0</v>
      </c>
      <c r="D56" s="89"/>
      <c r="E56" s="89"/>
      <c r="F56" s="96"/>
      <c r="G56" s="96"/>
      <c r="H56" s="96"/>
      <c r="I56" s="94">
        <v>4.701</v>
      </c>
      <c r="J56" s="96"/>
      <c r="K56" s="96"/>
      <c r="L56" s="96"/>
      <c r="M56" s="96"/>
      <c r="N56" s="96"/>
      <c r="O56" s="94">
        <v>4.801</v>
      </c>
      <c r="P56" s="96"/>
      <c r="Q56" s="96"/>
      <c r="R56" s="96"/>
      <c r="S56" s="94">
        <v>5.075</v>
      </c>
      <c r="T56" s="96"/>
      <c r="U56" s="96"/>
      <c r="V56" s="94">
        <v>1.312</v>
      </c>
    </row>
    <row r="57">
      <c r="A57" s="97">
        <f t="shared" si="3"/>
        <v>53</v>
      </c>
      <c r="B57" s="66">
        <v>178.0</v>
      </c>
      <c r="C57" s="66">
        <v>5140.0</v>
      </c>
      <c r="D57" s="89"/>
      <c r="E57" s="89"/>
      <c r="F57" s="96"/>
      <c r="G57" s="96"/>
      <c r="H57" s="96"/>
      <c r="I57" s="94">
        <v>4.791</v>
      </c>
      <c r="J57" s="96"/>
      <c r="K57" s="96"/>
      <c r="L57" s="96"/>
      <c r="M57" s="96"/>
      <c r="N57" s="96"/>
      <c r="O57" s="94">
        <v>4.886</v>
      </c>
      <c r="P57" s="96"/>
      <c r="Q57" s="96"/>
      <c r="R57" s="96"/>
      <c r="S57" s="94">
        <v>5.195</v>
      </c>
      <c r="T57" s="96"/>
      <c r="U57" s="96"/>
      <c r="V57" s="94">
        <v>1.317</v>
      </c>
    </row>
    <row r="58">
      <c r="A58" s="97">
        <f t="shared" si="3"/>
        <v>54</v>
      </c>
      <c r="B58" s="89"/>
      <c r="C58" s="89"/>
      <c r="D58" s="89"/>
      <c r="E58" s="89"/>
      <c r="F58" s="96"/>
      <c r="G58" s="96"/>
      <c r="H58" s="96"/>
      <c r="I58" s="96"/>
      <c r="J58" s="96"/>
      <c r="K58" s="96"/>
      <c r="L58" s="96"/>
      <c r="M58" s="96"/>
      <c r="N58" s="96"/>
      <c r="O58" s="96"/>
      <c r="P58" s="96"/>
      <c r="Q58" s="96"/>
      <c r="R58" s="96"/>
      <c r="S58" s="94">
        <v>5.315</v>
      </c>
      <c r="T58" s="96"/>
      <c r="U58" s="96"/>
      <c r="V58" s="96"/>
    </row>
    <row r="59">
      <c r="A59" s="97">
        <f t="shared" si="3"/>
        <v>55</v>
      </c>
      <c r="B59" s="89"/>
      <c r="C59" s="89"/>
      <c r="D59" s="89"/>
      <c r="E59" s="89"/>
      <c r="F59" s="96"/>
      <c r="G59" s="96"/>
      <c r="H59" s="96"/>
      <c r="I59" s="96"/>
      <c r="J59" s="96"/>
      <c r="K59" s="96"/>
      <c r="L59" s="96"/>
      <c r="M59" s="96"/>
      <c r="N59" s="96"/>
      <c r="O59" s="96"/>
      <c r="P59" s="96"/>
      <c r="Q59" s="96"/>
      <c r="R59" s="96"/>
      <c r="S59" s="94">
        <v>5.435</v>
      </c>
      <c r="T59" s="96"/>
      <c r="U59" s="96"/>
      <c r="V59" s="96"/>
    </row>
    <row r="60">
      <c r="A60" s="97">
        <f t="shared" si="3"/>
        <v>56</v>
      </c>
      <c r="B60" s="89"/>
      <c r="C60" s="89"/>
      <c r="D60" s="89"/>
      <c r="E60" s="89"/>
      <c r="F60" s="96"/>
      <c r="G60" s="96"/>
      <c r="H60" s="96"/>
      <c r="I60" s="96"/>
      <c r="J60" s="96"/>
      <c r="K60" s="96"/>
      <c r="L60" s="96"/>
      <c r="M60" s="96"/>
      <c r="N60" s="96"/>
      <c r="O60" s="96"/>
      <c r="P60" s="96"/>
      <c r="Q60" s="96"/>
      <c r="R60" s="96"/>
      <c r="S60" s="96"/>
      <c r="T60" s="96"/>
      <c r="U60" s="96"/>
      <c r="V60" s="96"/>
    </row>
    <row r="61">
      <c r="A61" s="97">
        <f t="shared" si="3"/>
        <v>57</v>
      </c>
      <c r="B61" s="89"/>
      <c r="C61" s="89"/>
      <c r="D61" s="89"/>
      <c r="E61" s="89"/>
      <c r="F61" s="96"/>
      <c r="G61" s="96"/>
      <c r="H61" s="96"/>
      <c r="I61" s="96"/>
      <c r="J61" s="96"/>
      <c r="K61" s="96"/>
      <c r="L61" s="96"/>
      <c r="M61" s="96"/>
      <c r="N61" s="96"/>
      <c r="O61" s="96"/>
      <c r="P61" s="96"/>
      <c r="Q61" s="96"/>
      <c r="R61" s="96"/>
      <c r="S61" s="96"/>
      <c r="T61" s="96"/>
      <c r="U61" s="96"/>
      <c r="V61" s="96"/>
    </row>
    <row r="62">
      <c r="A62" s="97">
        <f t="shared" si="3"/>
        <v>58</v>
      </c>
      <c r="B62" s="89"/>
      <c r="C62" s="89"/>
      <c r="D62" s="89"/>
      <c r="E62" s="89"/>
      <c r="F62" s="96"/>
      <c r="G62" s="96"/>
      <c r="H62" s="96"/>
      <c r="I62" s="96"/>
      <c r="J62" s="96"/>
      <c r="K62" s="96"/>
      <c r="L62" s="96"/>
      <c r="M62" s="96"/>
      <c r="N62" s="96"/>
      <c r="O62" s="96"/>
      <c r="P62" s="96"/>
      <c r="Q62" s="96"/>
      <c r="R62" s="96"/>
      <c r="S62" s="96"/>
      <c r="T62" s="96"/>
      <c r="U62" s="96"/>
      <c r="V62" s="96"/>
    </row>
    <row r="63">
      <c r="A63" s="97">
        <f t="shared" si="3"/>
        <v>59</v>
      </c>
      <c r="B63" s="89"/>
      <c r="C63" s="89"/>
      <c r="D63" s="89"/>
      <c r="E63" s="89"/>
      <c r="F63" s="96"/>
      <c r="G63" s="96"/>
      <c r="H63" s="96"/>
      <c r="I63" s="96"/>
      <c r="J63" s="96"/>
      <c r="K63" s="96"/>
      <c r="L63" s="96"/>
      <c r="M63" s="96"/>
      <c r="N63" s="96"/>
      <c r="O63" s="96"/>
      <c r="P63" s="96"/>
      <c r="Q63" s="96"/>
      <c r="R63" s="96"/>
      <c r="S63" s="96"/>
      <c r="T63" s="96"/>
      <c r="U63" s="96"/>
      <c r="V63" s="96"/>
    </row>
    <row r="64">
      <c r="A64" s="97">
        <f t="shared" si="3"/>
        <v>60</v>
      </c>
      <c r="B64" s="89"/>
      <c r="C64" s="89"/>
      <c r="D64" s="89"/>
      <c r="E64" s="89"/>
      <c r="F64" s="96"/>
      <c r="G64" s="96"/>
      <c r="H64" s="96"/>
      <c r="I64" s="96"/>
      <c r="J64" s="96"/>
      <c r="K64" s="96"/>
      <c r="L64" s="96"/>
      <c r="M64" s="96"/>
      <c r="N64" s="96"/>
      <c r="O64" s="96"/>
      <c r="P64" s="96"/>
      <c r="Q64" s="96"/>
      <c r="R64" s="96"/>
      <c r="S64" s="96"/>
      <c r="T64" s="96"/>
      <c r="U64" s="96"/>
      <c r="V64" s="96"/>
    </row>
    <row r="65">
      <c r="A65" s="97">
        <f t="shared" si="3"/>
        <v>61</v>
      </c>
      <c r="B65" s="89"/>
      <c r="C65" s="89"/>
      <c r="D65" s="89"/>
      <c r="E65" s="89"/>
      <c r="F65" s="96"/>
      <c r="G65" s="96"/>
      <c r="H65" s="96"/>
      <c r="I65" s="96"/>
      <c r="J65" s="96"/>
      <c r="K65" s="96"/>
      <c r="L65" s="96"/>
      <c r="M65" s="96"/>
      <c r="N65" s="96"/>
      <c r="O65" s="96"/>
      <c r="P65" s="96"/>
      <c r="Q65" s="96"/>
      <c r="R65" s="96"/>
      <c r="S65" s="96"/>
      <c r="T65" s="96"/>
      <c r="U65" s="96"/>
      <c r="V65" s="96"/>
    </row>
    <row r="66">
      <c r="A66" s="97">
        <f t="shared" si="3"/>
        <v>62</v>
      </c>
      <c r="B66" s="89"/>
      <c r="C66" s="89"/>
      <c r="D66" s="89"/>
      <c r="E66" s="89"/>
      <c r="F66" s="96"/>
      <c r="G66" s="96"/>
      <c r="H66" s="96"/>
      <c r="I66" s="96"/>
      <c r="J66" s="96"/>
      <c r="K66" s="96"/>
      <c r="L66" s="96"/>
      <c r="M66" s="96"/>
      <c r="N66" s="96"/>
      <c r="O66" s="96"/>
      <c r="P66" s="96"/>
      <c r="Q66" s="96"/>
      <c r="R66" s="96"/>
      <c r="S66" s="96"/>
      <c r="T66" s="96"/>
      <c r="U66" s="96"/>
      <c r="V66" s="96"/>
    </row>
    <row r="67">
      <c r="A67" s="97">
        <f t="shared" si="3"/>
        <v>63</v>
      </c>
      <c r="B67" s="89"/>
      <c r="C67" s="89"/>
      <c r="D67" s="89"/>
      <c r="E67" s="89"/>
      <c r="F67" s="96"/>
      <c r="G67" s="96"/>
      <c r="H67" s="96"/>
      <c r="I67" s="96"/>
      <c r="J67" s="96"/>
      <c r="K67" s="96"/>
      <c r="L67" s="96"/>
      <c r="M67" s="96"/>
      <c r="N67" s="96"/>
      <c r="O67" s="96"/>
      <c r="P67" s="96"/>
      <c r="Q67" s="96"/>
      <c r="R67" s="96"/>
      <c r="S67" s="96"/>
      <c r="T67" s="96"/>
      <c r="U67" s="96"/>
      <c r="V67" s="96"/>
    </row>
    <row r="68">
      <c r="A68" s="97">
        <f t="shared" si="3"/>
        <v>64</v>
      </c>
      <c r="B68" s="89"/>
      <c r="C68" s="89"/>
      <c r="D68" s="89"/>
      <c r="E68" s="89"/>
      <c r="F68" s="96"/>
      <c r="G68" s="96"/>
      <c r="H68" s="96"/>
      <c r="I68" s="96"/>
      <c r="J68" s="96"/>
      <c r="K68" s="96"/>
      <c r="L68" s="96"/>
      <c r="M68" s="96"/>
      <c r="N68" s="96"/>
      <c r="O68" s="96"/>
      <c r="P68" s="96"/>
      <c r="Q68" s="96"/>
      <c r="R68" s="96"/>
      <c r="S68" s="96"/>
      <c r="T68" s="96"/>
      <c r="U68" s="96"/>
      <c r="V68" s="96"/>
    </row>
    <row r="69">
      <c r="A69" s="97">
        <f t="shared" si="3"/>
        <v>65</v>
      </c>
      <c r="B69" s="89"/>
      <c r="C69" s="89"/>
      <c r="D69" s="89"/>
      <c r="E69" s="89"/>
      <c r="F69" s="96"/>
      <c r="G69" s="96"/>
      <c r="H69" s="96"/>
      <c r="I69" s="96"/>
      <c r="J69" s="96"/>
      <c r="K69" s="96"/>
      <c r="L69" s="96"/>
      <c r="M69" s="96"/>
      <c r="N69" s="96"/>
      <c r="O69" s="96"/>
      <c r="P69" s="96"/>
      <c r="Q69" s="96"/>
      <c r="R69" s="96"/>
      <c r="S69" s="96"/>
      <c r="T69" s="96"/>
      <c r="U69" s="96"/>
      <c r="V69" s="96"/>
    </row>
    <row r="70">
      <c r="A70" s="97">
        <f t="shared" si="3"/>
        <v>66</v>
      </c>
      <c r="B70" s="89"/>
      <c r="C70" s="89"/>
      <c r="D70" s="89"/>
      <c r="E70" s="89"/>
      <c r="F70" s="96"/>
      <c r="G70" s="96"/>
      <c r="H70" s="96"/>
      <c r="I70" s="96"/>
      <c r="J70" s="96"/>
      <c r="K70" s="96"/>
      <c r="L70" s="96"/>
      <c r="M70" s="96"/>
      <c r="N70" s="96"/>
      <c r="O70" s="96"/>
      <c r="P70" s="96"/>
      <c r="Q70" s="96"/>
      <c r="R70" s="96"/>
      <c r="S70" s="96"/>
      <c r="T70" s="96"/>
      <c r="U70" s="96"/>
      <c r="V70" s="96"/>
    </row>
    <row r="71">
      <c r="A71" s="97">
        <f t="shared" si="3"/>
        <v>67</v>
      </c>
      <c r="B71" s="89"/>
      <c r="C71" s="89"/>
      <c r="D71" s="89"/>
      <c r="E71" s="89"/>
      <c r="F71" s="96"/>
      <c r="G71" s="96"/>
      <c r="H71" s="96"/>
      <c r="I71" s="96"/>
      <c r="J71" s="96"/>
      <c r="K71" s="96"/>
      <c r="L71" s="96"/>
      <c r="M71" s="96"/>
      <c r="N71" s="96"/>
      <c r="O71" s="96"/>
      <c r="P71" s="96"/>
      <c r="Q71" s="96"/>
      <c r="R71" s="96"/>
      <c r="S71" s="96"/>
      <c r="T71" s="96"/>
      <c r="U71" s="96"/>
      <c r="V71" s="96"/>
    </row>
    <row r="72">
      <c r="A72" s="97">
        <f t="shared" si="3"/>
        <v>68</v>
      </c>
      <c r="B72" s="89"/>
      <c r="C72" s="89"/>
      <c r="D72" s="89"/>
      <c r="E72" s="89"/>
      <c r="F72" s="96"/>
      <c r="G72" s="96"/>
      <c r="H72" s="96"/>
      <c r="I72" s="96"/>
      <c r="J72" s="96"/>
      <c r="K72" s="96"/>
      <c r="L72" s="96"/>
      <c r="M72" s="96"/>
      <c r="N72" s="96"/>
      <c r="O72" s="96"/>
      <c r="P72" s="96"/>
      <c r="Q72" s="96"/>
      <c r="R72" s="96"/>
      <c r="S72" s="96"/>
      <c r="T72" s="96"/>
      <c r="U72" s="96"/>
      <c r="V72" s="96"/>
    </row>
    <row r="73">
      <c r="A73" s="97">
        <f t="shared" si="3"/>
        <v>69</v>
      </c>
      <c r="B73" s="89"/>
      <c r="C73" s="89"/>
      <c r="D73" s="89"/>
      <c r="E73" s="89"/>
      <c r="F73" s="96"/>
      <c r="G73" s="96"/>
      <c r="H73" s="96"/>
      <c r="I73" s="96"/>
      <c r="J73" s="96"/>
      <c r="K73" s="96"/>
      <c r="L73" s="96"/>
      <c r="M73" s="96"/>
      <c r="N73" s="96"/>
      <c r="O73" s="96"/>
      <c r="P73" s="96"/>
      <c r="Q73" s="96"/>
      <c r="R73" s="96"/>
      <c r="S73" s="96"/>
      <c r="T73" s="96"/>
      <c r="U73" s="96"/>
      <c r="V73" s="96"/>
    </row>
    <row r="74">
      <c r="A74" s="97">
        <f t="shared" si="3"/>
        <v>70</v>
      </c>
      <c r="B74" s="89"/>
      <c r="C74" s="89"/>
      <c r="D74" s="89"/>
      <c r="E74" s="89"/>
      <c r="F74" s="96"/>
      <c r="G74" s="96"/>
      <c r="H74" s="96"/>
      <c r="I74" s="96"/>
      <c r="J74" s="96"/>
      <c r="K74" s="96"/>
      <c r="L74" s="96"/>
      <c r="M74" s="96"/>
      <c r="N74" s="96"/>
      <c r="O74" s="96"/>
      <c r="P74" s="96"/>
      <c r="Q74" s="96"/>
      <c r="R74" s="96"/>
      <c r="S74" s="96"/>
      <c r="T74" s="96"/>
      <c r="U74" s="96"/>
      <c r="V74" s="96"/>
    </row>
    <row r="75">
      <c r="A75" s="97">
        <f t="shared" si="3"/>
        <v>71</v>
      </c>
      <c r="B75" s="89"/>
      <c r="C75" s="89"/>
      <c r="D75" s="89"/>
      <c r="E75" s="89"/>
      <c r="F75" s="96"/>
      <c r="G75" s="96"/>
      <c r="H75" s="96"/>
      <c r="I75" s="96"/>
      <c r="J75" s="96"/>
      <c r="K75" s="96"/>
      <c r="L75" s="96"/>
      <c r="M75" s="96"/>
      <c r="N75" s="96"/>
      <c r="O75" s="96"/>
      <c r="P75" s="96"/>
      <c r="Q75" s="96"/>
      <c r="R75" s="96"/>
      <c r="S75" s="96"/>
      <c r="T75" s="96"/>
      <c r="U75" s="96"/>
      <c r="V75" s="96"/>
    </row>
    <row r="76">
      <c r="A76" s="97">
        <f t="shared" si="3"/>
        <v>72</v>
      </c>
      <c r="B76" s="89"/>
      <c r="C76" s="89"/>
      <c r="D76" s="89"/>
      <c r="E76" s="89"/>
      <c r="F76" s="96"/>
      <c r="G76" s="96"/>
      <c r="H76" s="96"/>
      <c r="I76" s="96"/>
      <c r="J76" s="96"/>
      <c r="K76" s="96"/>
      <c r="L76" s="96"/>
      <c r="M76" s="96"/>
      <c r="N76" s="96"/>
      <c r="O76" s="96"/>
      <c r="P76" s="96"/>
      <c r="Q76" s="96"/>
      <c r="R76" s="96"/>
      <c r="S76" s="96"/>
      <c r="T76" s="96"/>
      <c r="U76" s="96"/>
      <c r="V76" s="96"/>
    </row>
    <row r="77">
      <c r="A77" s="97">
        <f t="shared" si="3"/>
        <v>73</v>
      </c>
      <c r="B77" s="89"/>
      <c r="C77" s="89"/>
      <c r="D77" s="89"/>
      <c r="E77" s="89"/>
      <c r="F77" s="96"/>
      <c r="G77" s="96"/>
      <c r="H77" s="96"/>
      <c r="I77" s="96"/>
      <c r="J77" s="96"/>
      <c r="K77" s="96"/>
      <c r="L77" s="96"/>
      <c r="M77" s="96"/>
      <c r="N77" s="96"/>
      <c r="O77" s="96"/>
      <c r="P77" s="96"/>
      <c r="Q77" s="96"/>
      <c r="R77" s="96"/>
      <c r="S77" s="96"/>
      <c r="T77" s="96"/>
      <c r="U77" s="96"/>
      <c r="V77" s="96"/>
    </row>
    <row r="78">
      <c r="A78" s="97">
        <f t="shared" si="3"/>
        <v>74</v>
      </c>
      <c r="B78" s="89"/>
      <c r="C78" s="89"/>
      <c r="D78" s="89"/>
      <c r="E78" s="89"/>
      <c r="F78" s="96"/>
      <c r="G78" s="96"/>
      <c r="H78" s="96"/>
      <c r="I78" s="96"/>
      <c r="J78" s="96"/>
      <c r="K78" s="96"/>
      <c r="L78" s="96"/>
      <c r="M78" s="96"/>
      <c r="N78" s="96"/>
      <c r="O78" s="96"/>
      <c r="P78" s="96"/>
      <c r="Q78" s="96"/>
      <c r="R78" s="96"/>
      <c r="S78" s="96"/>
      <c r="T78" s="96"/>
      <c r="U78" s="96"/>
      <c r="V78" s="96"/>
    </row>
    <row r="79">
      <c r="A79" s="97">
        <f t="shared" si="3"/>
        <v>75</v>
      </c>
      <c r="B79" s="89"/>
      <c r="C79" s="89"/>
      <c r="D79" s="89"/>
      <c r="E79" s="89"/>
      <c r="F79" s="96"/>
      <c r="G79" s="96"/>
      <c r="H79" s="96"/>
      <c r="I79" s="96"/>
      <c r="J79" s="96"/>
      <c r="K79" s="96"/>
      <c r="L79" s="96"/>
      <c r="M79" s="96"/>
      <c r="N79" s="96"/>
      <c r="O79" s="96"/>
      <c r="P79" s="96"/>
      <c r="Q79" s="96"/>
      <c r="R79" s="96"/>
      <c r="S79" s="96"/>
      <c r="T79" s="96"/>
      <c r="U79" s="96"/>
      <c r="V79" s="96"/>
    </row>
    <row r="80">
      <c r="A80" s="97">
        <f t="shared" si="3"/>
        <v>76</v>
      </c>
      <c r="B80" s="89"/>
      <c r="C80" s="89"/>
      <c r="D80" s="89"/>
      <c r="E80" s="89"/>
      <c r="F80" s="96"/>
      <c r="G80" s="96"/>
      <c r="H80" s="96"/>
      <c r="I80" s="96"/>
      <c r="J80" s="96"/>
      <c r="K80" s="96"/>
      <c r="L80" s="96"/>
      <c r="M80" s="96"/>
      <c r="N80" s="96"/>
      <c r="O80" s="96"/>
      <c r="P80" s="96"/>
      <c r="Q80" s="96"/>
      <c r="R80" s="96"/>
      <c r="S80" s="96"/>
      <c r="T80" s="96"/>
      <c r="U80" s="96"/>
      <c r="V80" s="96"/>
    </row>
    <row r="81">
      <c r="A81" s="97">
        <f t="shared" si="3"/>
        <v>77</v>
      </c>
      <c r="B81" s="89"/>
      <c r="C81" s="89"/>
      <c r="D81" s="89"/>
      <c r="E81" s="89"/>
      <c r="F81" s="96"/>
      <c r="G81" s="96"/>
      <c r="H81" s="96"/>
      <c r="I81" s="96"/>
      <c r="J81" s="96"/>
      <c r="K81" s="96"/>
      <c r="L81" s="96"/>
      <c r="M81" s="96"/>
      <c r="N81" s="96"/>
      <c r="O81" s="96"/>
      <c r="P81" s="96"/>
      <c r="Q81" s="96"/>
      <c r="R81" s="96"/>
      <c r="S81" s="96"/>
      <c r="T81" s="96"/>
      <c r="U81" s="96"/>
      <c r="V81" s="96"/>
    </row>
    <row r="82">
      <c r="A82" s="97">
        <f t="shared" si="3"/>
        <v>78</v>
      </c>
      <c r="B82" s="89"/>
      <c r="C82" s="89"/>
      <c r="D82" s="89"/>
      <c r="E82" s="89"/>
      <c r="F82" s="96"/>
      <c r="G82" s="96"/>
      <c r="H82" s="96"/>
      <c r="I82" s="96"/>
      <c r="J82" s="96"/>
      <c r="K82" s="96"/>
      <c r="L82" s="96"/>
      <c r="M82" s="96"/>
      <c r="N82" s="96"/>
      <c r="O82" s="96"/>
      <c r="P82" s="96"/>
      <c r="Q82" s="96"/>
      <c r="R82" s="96"/>
      <c r="S82" s="96"/>
      <c r="T82" s="96"/>
      <c r="U82" s="96"/>
      <c r="V82" s="96"/>
    </row>
    <row r="83">
      <c r="A83" s="97">
        <f t="shared" si="3"/>
        <v>79</v>
      </c>
      <c r="B83" s="89"/>
      <c r="C83" s="89"/>
      <c r="D83" s="89"/>
      <c r="E83" s="89"/>
      <c r="F83" s="96"/>
      <c r="G83" s="96"/>
      <c r="H83" s="96"/>
      <c r="I83" s="96"/>
      <c r="J83" s="96"/>
      <c r="K83" s="96"/>
      <c r="L83" s="96"/>
      <c r="M83" s="96"/>
      <c r="N83" s="96"/>
      <c r="O83" s="96"/>
      <c r="P83" s="96"/>
      <c r="Q83" s="96"/>
      <c r="R83" s="96"/>
      <c r="S83" s="96"/>
      <c r="T83" s="96"/>
      <c r="U83" s="96"/>
      <c r="V83" s="96"/>
    </row>
    <row r="84">
      <c r="A84" s="97">
        <f t="shared" si="3"/>
        <v>80</v>
      </c>
      <c r="B84" s="89"/>
      <c r="C84" s="89"/>
      <c r="D84" s="89"/>
      <c r="E84" s="89"/>
      <c r="F84" s="96"/>
      <c r="G84" s="96"/>
      <c r="H84" s="96"/>
      <c r="I84" s="96"/>
      <c r="J84" s="96"/>
      <c r="K84" s="96"/>
      <c r="L84" s="96"/>
      <c r="M84" s="96"/>
      <c r="N84" s="96"/>
      <c r="O84" s="96"/>
      <c r="P84" s="96"/>
      <c r="Q84" s="96"/>
      <c r="R84" s="96"/>
      <c r="S84" s="96"/>
      <c r="T84" s="96"/>
      <c r="U84" s="96"/>
      <c r="V84" s="96"/>
    </row>
    <row r="85">
      <c r="A85" s="97">
        <f t="shared" si="3"/>
        <v>81</v>
      </c>
      <c r="B85" s="89"/>
      <c r="C85" s="89"/>
      <c r="D85" s="89"/>
      <c r="E85" s="89"/>
      <c r="F85" s="96"/>
      <c r="G85" s="96"/>
      <c r="H85" s="96"/>
      <c r="I85" s="96"/>
      <c r="J85" s="96"/>
      <c r="K85" s="96"/>
      <c r="L85" s="96"/>
      <c r="M85" s="96"/>
      <c r="N85" s="96"/>
      <c r="O85" s="96"/>
      <c r="P85" s="96"/>
      <c r="Q85" s="96"/>
      <c r="R85" s="96"/>
      <c r="S85" s="96"/>
      <c r="T85" s="96"/>
      <c r="U85" s="96"/>
      <c r="V85" s="96"/>
    </row>
    <row r="86">
      <c r="A86" s="97">
        <f t="shared" si="3"/>
        <v>82</v>
      </c>
      <c r="B86" s="66">
        <v>495.0</v>
      </c>
      <c r="C86" s="66">
        <v>214290.0</v>
      </c>
      <c r="D86" s="66"/>
      <c r="E86" s="66"/>
      <c r="F86" s="96"/>
      <c r="G86" s="94">
        <v>7.591</v>
      </c>
      <c r="H86" s="96"/>
      <c r="I86" s="96"/>
      <c r="J86" s="96"/>
      <c r="K86" s="96"/>
      <c r="L86" s="96"/>
      <c r="M86" s="96"/>
      <c r="N86" s="96"/>
      <c r="O86" s="96"/>
      <c r="P86" s="96"/>
      <c r="Q86" s="96"/>
      <c r="R86" s="96"/>
      <c r="S86" s="96"/>
      <c r="T86" s="96"/>
      <c r="U86" s="96"/>
      <c r="V86" s="96"/>
    </row>
    <row r="87">
      <c r="A87" s="97">
        <f t="shared" si="3"/>
        <v>83</v>
      </c>
      <c r="B87" s="66">
        <v>495.0</v>
      </c>
      <c r="C87" s="66">
        <v>214290.0</v>
      </c>
      <c r="D87" s="66"/>
      <c r="E87" s="66"/>
      <c r="F87" s="96"/>
      <c r="G87" s="96"/>
      <c r="H87" s="96"/>
      <c r="I87" s="96"/>
      <c r="J87" s="96"/>
      <c r="K87" s="96"/>
      <c r="L87" s="94">
        <v>7.501</v>
      </c>
      <c r="M87" s="96"/>
      <c r="N87" s="96"/>
      <c r="O87" s="96"/>
      <c r="P87" s="96"/>
      <c r="Q87" s="96"/>
      <c r="R87" s="96"/>
      <c r="S87" s="96"/>
      <c r="T87" s="96"/>
      <c r="U87" s="96"/>
      <c r="V87" s="96"/>
    </row>
    <row r="88">
      <c r="A88" s="97">
        <f t="shared" si="3"/>
        <v>84</v>
      </c>
      <c r="B88" s="66">
        <v>495.0</v>
      </c>
      <c r="C88" s="66">
        <v>214290.0</v>
      </c>
      <c r="D88" s="66"/>
      <c r="E88" s="66"/>
      <c r="F88" s="96"/>
      <c r="G88" s="96"/>
      <c r="H88" s="96"/>
      <c r="I88" s="96"/>
      <c r="J88" s="96"/>
      <c r="K88" s="96"/>
      <c r="L88" s="96"/>
      <c r="M88" s="96"/>
      <c r="N88" s="96"/>
      <c r="O88" s="96"/>
      <c r="P88" s="96"/>
      <c r="Q88" s="94">
        <v>9.405</v>
      </c>
      <c r="R88" s="96"/>
      <c r="S88" s="96"/>
      <c r="T88" s="96"/>
      <c r="U88" s="94">
        <v>1.497</v>
      </c>
      <c r="V88" s="96"/>
    </row>
    <row r="89">
      <c r="A89" s="97">
        <f t="shared" si="3"/>
        <v>85</v>
      </c>
      <c r="B89" s="66">
        <v>495.0</v>
      </c>
      <c r="C89" s="66">
        <v>214290.0</v>
      </c>
      <c r="D89" s="66"/>
      <c r="E89" s="66"/>
      <c r="F89" s="96"/>
      <c r="G89" s="96"/>
      <c r="H89" s="96"/>
      <c r="I89" s="96"/>
      <c r="J89" s="96"/>
      <c r="K89" s="96"/>
      <c r="L89" s="96"/>
      <c r="M89" s="96"/>
      <c r="N89" s="96"/>
      <c r="O89" s="96"/>
      <c r="P89" s="96"/>
      <c r="Q89" s="96"/>
      <c r="R89" s="96"/>
      <c r="S89" s="96"/>
      <c r="T89" s="96"/>
      <c r="U89" s="96"/>
      <c r="V89" s="96"/>
    </row>
    <row r="90">
      <c r="A90" s="97">
        <f t="shared" si="3"/>
        <v>86</v>
      </c>
      <c r="B90" s="89"/>
      <c r="C90" s="89"/>
      <c r="D90" s="89"/>
      <c r="E90" s="89"/>
      <c r="F90" s="96"/>
      <c r="G90" s="96"/>
      <c r="H90" s="96"/>
      <c r="I90" s="96"/>
      <c r="J90" s="96"/>
      <c r="K90" s="96"/>
      <c r="L90" s="96"/>
      <c r="M90" s="96"/>
      <c r="N90" s="96"/>
      <c r="O90" s="96"/>
      <c r="P90" s="96"/>
      <c r="Q90" s="96"/>
      <c r="R90" s="96"/>
      <c r="S90" s="96"/>
      <c r="T90" s="96"/>
      <c r="U90" s="96"/>
      <c r="V90" s="96"/>
    </row>
    <row r="91">
      <c r="A91" s="97">
        <f t="shared" si="3"/>
        <v>87</v>
      </c>
      <c r="B91" s="89"/>
      <c r="C91" s="89"/>
      <c r="D91" s="89"/>
      <c r="E91" s="89"/>
      <c r="F91" s="96"/>
      <c r="G91" s="96"/>
      <c r="H91" s="96"/>
      <c r="I91" s="96"/>
      <c r="J91" s="96"/>
      <c r="K91" s="96"/>
      <c r="L91" s="96"/>
      <c r="M91" s="96"/>
      <c r="N91" s="96"/>
      <c r="O91" s="96"/>
      <c r="P91" s="96"/>
      <c r="Q91" s="96"/>
      <c r="R91" s="96"/>
      <c r="S91" s="96"/>
      <c r="T91" s="96"/>
      <c r="U91" s="96"/>
      <c r="V91" s="96"/>
    </row>
    <row r="92">
      <c r="A92" s="97">
        <f t="shared" si="3"/>
        <v>88</v>
      </c>
      <c r="B92" s="89"/>
      <c r="C92" s="89"/>
      <c r="D92" s="89"/>
      <c r="E92" s="89"/>
      <c r="F92" s="96"/>
      <c r="G92" s="96"/>
      <c r="H92" s="96"/>
      <c r="I92" s="96"/>
      <c r="J92" s="96"/>
      <c r="K92" s="96"/>
      <c r="L92" s="96"/>
      <c r="M92" s="96"/>
      <c r="N92" s="96"/>
      <c r="O92" s="96"/>
      <c r="P92" s="96"/>
      <c r="Q92" s="96"/>
      <c r="R92" s="96"/>
      <c r="S92" s="96"/>
      <c r="T92" s="96"/>
      <c r="U92" s="96"/>
      <c r="V92" s="96"/>
    </row>
    <row r="93">
      <c r="A93" s="97">
        <f t="shared" si="3"/>
        <v>89</v>
      </c>
      <c r="B93" s="89"/>
      <c r="C93" s="89"/>
      <c r="D93" s="89"/>
      <c r="E93" s="89"/>
      <c r="F93" s="96"/>
      <c r="G93" s="96"/>
      <c r="H93" s="96"/>
      <c r="I93" s="96"/>
      <c r="J93" s="96"/>
      <c r="K93" s="96"/>
      <c r="L93" s="96"/>
      <c r="M93" s="96"/>
      <c r="N93" s="96"/>
      <c r="O93" s="96"/>
      <c r="P93" s="96"/>
      <c r="Q93" s="96"/>
      <c r="R93" s="96"/>
      <c r="S93" s="96"/>
      <c r="T93" s="96"/>
      <c r="U93" s="96"/>
      <c r="V93" s="96"/>
    </row>
    <row r="94">
      <c r="A94" s="97">
        <f t="shared" si="3"/>
        <v>90</v>
      </c>
      <c r="B94" s="89"/>
      <c r="C94" s="89"/>
      <c r="D94" s="89"/>
      <c r="E94" s="89"/>
      <c r="F94" s="96"/>
      <c r="G94" s="96"/>
      <c r="H94" s="96"/>
      <c r="I94" s="96"/>
      <c r="J94" s="96"/>
      <c r="K94" s="96"/>
      <c r="L94" s="96"/>
      <c r="M94" s="96"/>
      <c r="N94" s="96"/>
      <c r="O94" s="96"/>
      <c r="P94" s="96"/>
      <c r="Q94" s="96"/>
      <c r="R94" s="96"/>
      <c r="S94" s="96"/>
      <c r="T94" s="96"/>
      <c r="U94" s="96"/>
      <c r="V94" s="96"/>
    </row>
    <row r="95">
      <c r="A95" s="97">
        <f t="shared" si="3"/>
        <v>91</v>
      </c>
      <c r="B95" s="89"/>
      <c r="C95" s="89"/>
      <c r="D95" s="89"/>
      <c r="E95" s="89"/>
      <c r="F95" s="96"/>
      <c r="G95" s="96"/>
      <c r="H95" s="96"/>
      <c r="I95" s="96"/>
      <c r="J95" s="96"/>
      <c r="K95" s="96"/>
      <c r="L95" s="96"/>
      <c r="M95" s="96"/>
      <c r="N95" s="96"/>
      <c r="O95" s="96"/>
      <c r="P95" s="96"/>
      <c r="Q95" s="96"/>
      <c r="R95" s="96"/>
      <c r="S95" s="96"/>
      <c r="T95" s="96"/>
      <c r="U95" s="96"/>
      <c r="V95" s="96"/>
    </row>
    <row r="96">
      <c r="A96" s="97">
        <f t="shared" si="3"/>
        <v>92</v>
      </c>
      <c r="B96" s="89"/>
      <c r="C96" s="89"/>
      <c r="D96" s="89"/>
      <c r="E96" s="89"/>
      <c r="F96" s="96"/>
      <c r="G96" s="96"/>
      <c r="H96" s="96"/>
      <c r="I96" s="96"/>
      <c r="J96" s="96"/>
      <c r="K96" s="96"/>
      <c r="L96" s="96"/>
      <c r="M96" s="96"/>
      <c r="N96" s="96"/>
      <c r="O96" s="96"/>
      <c r="P96" s="96"/>
      <c r="Q96" s="96"/>
      <c r="R96" s="96"/>
      <c r="S96" s="96"/>
      <c r="T96" s="96"/>
      <c r="U96" s="96"/>
      <c r="V96" s="96"/>
    </row>
    <row r="97">
      <c r="A97" s="97">
        <f t="shared" si="3"/>
        <v>93</v>
      </c>
      <c r="B97" s="89"/>
      <c r="C97" s="89"/>
      <c r="D97" s="89"/>
      <c r="E97" s="89"/>
      <c r="F97" s="96"/>
      <c r="G97" s="96"/>
      <c r="H97" s="96"/>
      <c r="I97" s="96"/>
      <c r="J97" s="96"/>
      <c r="K97" s="96"/>
      <c r="L97" s="96"/>
      <c r="M97" s="96"/>
      <c r="N97" s="96"/>
      <c r="O97" s="96"/>
      <c r="P97" s="96"/>
      <c r="Q97" s="96"/>
      <c r="R97" s="96"/>
      <c r="S97" s="96"/>
      <c r="T97" s="96"/>
      <c r="U97" s="96"/>
      <c r="V97" s="96"/>
    </row>
    <row r="98">
      <c r="A98" s="97">
        <f t="shared" si="3"/>
        <v>94</v>
      </c>
      <c r="B98" s="89"/>
      <c r="C98" s="89"/>
      <c r="D98" s="89"/>
      <c r="E98" s="89"/>
      <c r="F98" s="96"/>
      <c r="G98" s="96"/>
      <c r="H98" s="96"/>
      <c r="I98" s="96"/>
      <c r="J98" s="96"/>
      <c r="K98" s="96"/>
      <c r="L98" s="96"/>
      <c r="M98" s="96"/>
      <c r="N98" s="96"/>
      <c r="O98" s="96"/>
      <c r="P98" s="96"/>
      <c r="Q98" s="96"/>
      <c r="R98" s="96"/>
      <c r="S98" s="96"/>
      <c r="T98" s="96"/>
      <c r="U98" s="96"/>
      <c r="V98" s="96"/>
    </row>
    <row r="99">
      <c r="A99" s="97">
        <f t="shared" si="3"/>
        <v>95</v>
      </c>
      <c r="B99" s="89"/>
      <c r="C99" s="89"/>
      <c r="D99" s="89"/>
      <c r="E99" s="89"/>
      <c r="F99" s="96"/>
      <c r="G99" s="96"/>
      <c r="H99" s="96"/>
      <c r="I99" s="96"/>
      <c r="J99" s="96"/>
      <c r="K99" s="96"/>
      <c r="L99" s="96"/>
      <c r="M99" s="96"/>
      <c r="N99" s="96"/>
      <c r="O99" s="96"/>
      <c r="P99" s="96"/>
      <c r="Q99" s="96"/>
      <c r="R99" s="96"/>
      <c r="S99" s="96"/>
      <c r="T99" s="96"/>
      <c r="U99" s="96"/>
      <c r="V99" s="96"/>
    </row>
    <row r="100">
      <c r="A100" s="97">
        <f t="shared" si="3"/>
        <v>96</v>
      </c>
      <c r="B100" s="89"/>
      <c r="C100" s="89"/>
      <c r="D100" s="89"/>
      <c r="E100" s="89"/>
      <c r="F100" s="96"/>
      <c r="G100" s="96"/>
      <c r="H100" s="96"/>
      <c r="I100" s="96"/>
      <c r="J100" s="96"/>
      <c r="K100" s="96"/>
      <c r="L100" s="96"/>
      <c r="M100" s="96"/>
      <c r="N100" s="96"/>
      <c r="O100" s="96"/>
      <c r="P100" s="96"/>
      <c r="Q100" s="96"/>
      <c r="R100" s="96"/>
      <c r="S100" s="96"/>
      <c r="T100" s="96"/>
      <c r="U100" s="96"/>
      <c r="V100" s="96"/>
    </row>
    <row r="101">
      <c r="A101" s="97">
        <f t="shared" si="3"/>
        <v>97</v>
      </c>
      <c r="B101" s="89"/>
      <c r="C101" s="89"/>
      <c r="D101" s="89"/>
      <c r="E101" s="89"/>
      <c r="F101" s="96"/>
      <c r="G101" s="96"/>
      <c r="H101" s="96"/>
      <c r="I101" s="96"/>
      <c r="J101" s="96"/>
      <c r="K101" s="96"/>
      <c r="L101" s="96"/>
      <c r="M101" s="96"/>
      <c r="N101" s="96"/>
      <c r="O101" s="96"/>
      <c r="P101" s="96"/>
      <c r="Q101" s="96"/>
      <c r="R101" s="96"/>
      <c r="S101" s="96"/>
      <c r="T101" s="96"/>
      <c r="U101" s="96"/>
      <c r="V101" s="96"/>
    </row>
    <row r="102">
      <c r="A102" s="97">
        <f t="shared" si="3"/>
        <v>98</v>
      </c>
      <c r="B102" s="89"/>
      <c r="C102" s="89"/>
      <c r="D102" s="89"/>
      <c r="E102" s="89"/>
      <c r="F102" s="96"/>
      <c r="G102" s="96"/>
      <c r="H102" s="96"/>
      <c r="I102" s="96"/>
      <c r="J102" s="96"/>
      <c r="K102" s="96"/>
      <c r="L102" s="96"/>
      <c r="M102" s="96"/>
      <c r="N102" s="96"/>
      <c r="O102" s="96"/>
      <c r="P102" s="96"/>
      <c r="Q102" s="96"/>
      <c r="R102" s="96"/>
      <c r="S102" s="96"/>
      <c r="T102" s="96"/>
      <c r="U102" s="96"/>
      <c r="V102" s="96"/>
    </row>
    <row r="103">
      <c r="A103" s="97">
        <f t="shared" si="3"/>
        <v>99</v>
      </c>
      <c r="B103" s="89"/>
      <c r="C103" s="89"/>
      <c r="D103" s="89"/>
      <c r="E103" s="89"/>
      <c r="F103" s="96"/>
      <c r="G103" s="96"/>
      <c r="H103" s="96"/>
      <c r="I103" s="96"/>
      <c r="J103" s="96"/>
      <c r="K103" s="96"/>
      <c r="L103" s="96"/>
      <c r="M103" s="96"/>
      <c r="N103" s="96"/>
      <c r="O103" s="96"/>
      <c r="P103" s="96"/>
      <c r="Q103" s="96"/>
      <c r="R103" s="96"/>
      <c r="S103" s="96"/>
      <c r="T103" s="96"/>
      <c r="U103" s="96"/>
      <c r="V103" s="96"/>
    </row>
    <row r="104">
      <c r="A104" s="97">
        <f t="shared" si="3"/>
        <v>100</v>
      </c>
      <c r="B104" s="89"/>
      <c r="C104" s="89"/>
      <c r="D104" s="89"/>
      <c r="E104" s="89"/>
      <c r="F104" s="96"/>
      <c r="G104" s="96"/>
      <c r="H104" s="96"/>
      <c r="I104" s="96"/>
      <c r="J104" s="96"/>
      <c r="K104" s="96"/>
      <c r="L104" s="96"/>
      <c r="M104" s="96"/>
      <c r="N104" s="96"/>
      <c r="O104" s="96"/>
      <c r="P104" s="96"/>
      <c r="Q104" s="96"/>
      <c r="R104" s="96"/>
      <c r="S104" s="96"/>
      <c r="T104" s="96"/>
      <c r="U104" s="96"/>
      <c r="V104" s="96"/>
    </row>
    <row r="105">
      <c r="A105" s="97">
        <f t="shared" si="3"/>
        <v>101</v>
      </c>
      <c r="B105" s="66">
        <v>990.0</v>
      </c>
      <c r="C105" s="66">
        <v>1070000.0</v>
      </c>
      <c r="D105" s="66"/>
      <c r="E105" s="66"/>
      <c r="F105" s="96"/>
      <c r="G105" s="94">
        <v>9.887</v>
      </c>
      <c r="H105" s="96"/>
      <c r="I105" s="96"/>
      <c r="J105" s="96"/>
      <c r="K105" s="96"/>
      <c r="L105" s="96"/>
      <c r="M105" s="96"/>
      <c r="N105" s="96"/>
      <c r="O105" s="96"/>
      <c r="P105" s="96"/>
      <c r="Q105" s="96"/>
      <c r="R105" s="96"/>
      <c r="S105" s="96"/>
      <c r="T105" s="96"/>
      <c r="U105" s="96"/>
      <c r="V105" s="96"/>
    </row>
    <row r="106">
      <c r="A106" s="97">
        <f t="shared" si="3"/>
        <v>102</v>
      </c>
      <c r="B106" s="89"/>
      <c r="C106" s="89"/>
      <c r="D106" s="89"/>
      <c r="E106" s="89"/>
      <c r="F106" s="96"/>
      <c r="G106" s="96"/>
      <c r="H106" s="96"/>
      <c r="I106" s="96"/>
      <c r="J106" s="96"/>
      <c r="K106" s="96"/>
      <c r="L106" s="96"/>
      <c r="M106" s="96"/>
      <c r="N106" s="96"/>
      <c r="O106" s="96"/>
      <c r="P106" s="96"/>
      <c r="Q106" s="96"/>
      <c r="R106" s="96"/>
      <c r="S106" s="96"/>
      <c r="T106" s="96"/>
      <c r="U106" s="96"/>
      <c r="V106" s="96"/>
    </row>
    <row r="107">
      <c r="A107" s="97">
        <f t="shared" si="3"/>
        <v>103</v>
      </c>
      <c r="B107" s="89"/>
      <c r="C107" s="89"/>
      <c r="D107" s="89"/>
      <c r="E107" s="89"/>
      <c r="F107" s="96"/>
      <c r="G107" s="96"/>
      <c r="H107" s="96"/>
      <c r="I107" s="96"/>
      <c r="J107" s="96"/>
      <c r="K107" s="96"/>
      <c r="L107" s="96"/>
      <c r="M107" s="96"/>
      <c r="N107" s="96"/>
      <c r="O107" s="96"/>
      <c r="P107" s="96"/>
      <c r="Q107" s="96"/>
      <c r="R107" s="96"/>
      <c r="S107" s="96"/>
      <c r="T107" s="96"/>
      <c r="U107" s="96"/>
      <c r="V107" s="96"/>
    </row>
    <row r="108">
      <c r="A108" s="97">
        <f t="shared" si="3"/>
        <v>104</v>
      </c>
      <c r="B108" s="89"/>
      <c r="C108" s="89"/>
      <c r="D108" s="89"/>
      <c r="E108" s="89"/>
      <c r="F108" s="96"/>
      <c r="G108" s="96"/>
      <c r="H108" s="96"/>
      <c r="I108" s="96"/>
      <c r="J108" s="96"/>
      <c r="K108" s="96"/>
      <c r="L108" s="96"/>
      <c r="M108" s="96"/>
      <c r="N108" s="96"/>
      <c r="O108" s="96"/>
      <c r="P108" s="96"/>
      <c r="Q108" s="96"/>
      <c r="R108" s="96"/>
      <c r="S108" s="96"/>
      <c r="T108" s="96"/>
      <c r="U108" s="96"/>
      <c r="V108" s="96"/>
    </row>
    <row r="109">
      <c r="A109" s="97">
        <f t="shared" si="3"/>
        <v>105</v>
      </c>
      <c r="B109" s="89"/>
      <c r="C109" s="89"/>
      <c r="D109" s="89"/>
      <c r="E109" s="89"/>
      <c r="F109" s="96"/>
      <c r="G109" s="96"/>
      <c r="H109" s="96"/>
      <c r="I109" s="96"/>
      <c r="J109" s="96"/>
      <c r="K109" s="96"/>
      <c r="L109" s="96"/>
      <c r="M109" s="96"/>
      <c r="N109" s="96"/>
      <c r="O109" s="96"/>
      <c r="P109" s="96"/>
      <c r="Q109" s="96"/>
      <c r="R109" s="96"/>
      <c r="S109" s="96"/>
      <c r="T109" s="96"/>
      <c r="U109" s="96"/>
      <c r="V109" s="96"/>
    </row>
    <row r="110">
      <c r="A110" s="97">
        <f t="shared" si="3"/>
        <v>106</v>
      </c>
      <c r="B110" s="89"/>
      <c r="C110" s="89"/>
      <c r="D110" s="89"/>
      <c r="E110" s="89"/>
      <c r="F110" s="96"/>
      <c r="G110" s="96"/>
      <c r="H110" s="96"/>
      <c r="I110" s="96"/>
      <c r="J110" s="96"/>
      <c r="K110" s="96"/>
      <c r="L110" s="96"/>
      <c r="M110" s="96"/>
      <c r="N110" s="96"/>
      <c r="O110" s="96"/>
      <c r="P110" s="96"/>
      <c r="Q110" s="96"/>
      <c r="R110" s="96"/>
      <c r="S110" s="96"/>
      <c r="T110" s="96"/>
      <c r="U110" s="96"/>
      <c r="V110" s="96"/>
    </row>
    <row r="111">
      <c r="A111" s="97">
        <f t="shared" si="3"/>
        <v>107</v>
      </c>
      <c r="B111" s="89"/>
      <c r="C111" s="89"/>
      <c r="D111" s="89"/>
      <c r="E111" s="89"/>
      <c r="F111" s="96"/>
      <c r="G111" s="96"/>
      <c r="H111" s="96"/>
      <c r="I111" s="96"/>
      <c r="J111" s="96"/>
      <c r="K111" s="96"/>
      <c r="L111" s="96"/>
      <c r="M111" s="96"/>
      <c r="N111" s="96"/>
      <c r="O111" s="96"/>
      <c r="P111" s="96"/>
      <c r="Q111" s="96"/>
      <c r="R111" s="96"/>
      <c r="S111" s="96"/>
      <c r="T111" s="96"/>
      <c r="U111" s="96"/>
      <c r="V111" s="96"/>
    </row>
    <row r="112">
      <c r="A112" s="97">
        <f t="shared" si="3"/>
        <v>108</v>
      </c>
      <c r="B112" s="89"/>
      <c r="C112" s="89"/>
      <c r="D112" s="89"/>
      <c r="E112" s="89"/>
      <c r="F112" s="96"/>
      <c r="G112" s="96"/>
      <c r="H112" s="96"/>
      <c r="I112" s="96"/>
      <c r="J112" s="96"/>
      <c r="K112" s="96"/>
      <c r="L112" s="96"/>
      <c r="M112" s="96"/>
      <c r="N112" s="96"/>
      <c r="O112" s="96"/>
      <c r="P112" s="96"/>
      <c r="Q112" s="96"/>
      <c r="R112" s="96"/>
      <c r="S112" s="96"/>
      <c r="T112" s="96"/>
      <c r="U112" s="96"/>
      <c r="V112" s="96"/>
    </row>
    <row r="113">
      <c r="A113" s="97">
        <f t="shared" si="3"/>
        <v>109</v>
      </c>
      <c r="B113" s="89"/>
      <c r="C113" s="89"/>
      <c r="D113" s="89"/>
      <c r="E113" s="89"/>
      <c r="F113" s="96"/>
      <c r="G113" s="96"/>
      <c r="H113" s="96"/>
      <c r="I113" s="96"/>
      <c r="J113" s="96"/>
      <c r="K113" s="96"/>
      <c r="L113" s="96"/>
      <c r="M113" s="96"/>
      <c r="N113" s="96"/>
      <c r="O113" s="96"/>
      <c r="P113" s="96"/>
      <c r="Q113" s="96"/>
      <c r="R113" s="96"/>
      <c r="S113" s="96"/>
      <c r="T113" s="96"/>
      <c r="U113" s="96"/>
      <c r="V113" s="96"/>
    </row>
    <row r="114">
      <c r="A114" s="97">
        <f t="shared" si="3"/>
        <v>110</v>
      </c>
      <c r="B114" s="89"/>
      <c r="C114" s="89"/>
      <c r="D114" s="89"/>
      <c r="E114" s="89"/>
      <c r="F114" s="96"/>
      <c r="G114" s="96"/>
      <c r="H114" s="96"/>
      <c r="I114" s="96"/>
      <c r="J114" s="96"/>
      <c r="K114" s="96"/>
      <c r="L114" s="96"/>
      <c r="M114" s="96"/>
      <c r="N114" s="96"/>
      <c r="O114" s="96"/>
      <c r="P114" s="96"/>
      <c r="Q114" s="96"/>
      <c r="R114" s="96"/>
      <c r="S114" s="96"/>
      <c r="T114" s="96"/>
      <c r="U114" s="96"/>
      <c r="V114" s="96"/>
    </row>
    <row r="115">
      <c r="A115" s="97">
        <f t="shared" si="3"/>
        <v>111</v>
      </c>
      <c r="B115" s="89"/>
      <c r="C115" s="89"/>
      <c r="D115" s="89"/>
      <c r="E115" s="89"/>
      <c r="F115" s="96"/>
      <c r="G115" s="96"/>
      <c r="H115" s="96"/>
      <c r="I115" s="96"/>
      <c r="J115" s="96"/>
      <c r="K115" s="96"/>
      <c r="L115" s="96"/>
      <c r="M115" s="96"/>
      <c r="N115" s="96"/>
      <c r="O115" s="96"/>
      <c r="P115" s="96"/>
      <c r="Q115" s="96"/>
      <c r="R115" s="96"/>
      <c r="S115" s="96"/>
      <c r="T115" s="96"/>
      <c r="U115" s="96"/>
      <c r="V115" s="96"/>
    </row>
    <row r="116">
      <c r="A116" s="97">
        <f t="shared" si="3"/>
        <v>112</v>
      </c>
      <c r="B116" s="89"/>
      <c r="C116" s="89"/>
      <c r="D116" s="89"/>
      <c r="E116" s="89"/>
      <c r="F116" s="96"/>
      <c r="G116" s="96"/>
      <c r="H116" s="96"/>
      <c r="I116" s="96"/>
      <c r="J116" s="96"/>
      <c r="K116" s="96"/>
      <c r="L116" s="96"/>
      <c r="M116" s="96"/>
      <c r="N116" s="96"/>
      <c r="O116" s="96"/>
      <c r="P116" s="96"/>
      <c r="Q116" s="96"/>
      <c r="R116" s="96"/>
      <c r="S116" s="96"/>
      <c r="T116" s="96"/>
      <c r="U116" s="96"/>
      <c r="V116" s="96"/>
    </row>
    <row r="117">
      <c r="A117" s="97">
        <f t="shared" si="3"/>
        <v>113</v>
      </c>
      <c r="B117" s="89"/>
      <c r="C117" s="89"/>
      <c r="D117" s="89"/>
      <c r="E117" s="89"/>
      <c r="F117" s="96"/>
      <c r="G117" s="96"/>
      <c r="H117" s="96"/>
      <c r="I117" s="96"/>
      <c r="J117" s="96"/>
      <c r="K117" s="96"/>
      <c r="L117" s="96"/>
      <c r="M117" s="96"/>
      <c r="N117" s="96"/>
      <c r="O117" s="96"/>
      <c r="P117" s="96"/>
      <c r="Q117" s="96"/>
      <c r="R117" s="96"/>
      <c r="S117" s="96"/>
      <c r="T117" s="96"/>
      <c r="U117" s="96"/>
      <c r="V117" s="96"/>
    </row>
    <row r="118">
      <c r="A118" s="97">
        <f t="shared" si="3"/>
        <v>114</v>
      </c>
      <c r="B118" s="89"/>
      <c r="C118" s="89"/>
      <c r="D118" s="89"/>
      <c r="E118" s="89"/>
      <c r="F118" s="96"/>
      <c r="G118" s="96"/>
      <c r="H118" s="96"/>
      <c r="I118" s="96"/>
      <c r="J118" s="96"/>
      <c r="K118" s="96"/>
      <c r="L118" s="96"/>
      <c r="M118" s="96"/>
      <c r="N118" s="96"/>
      <c r="O118" s="96"/>
      <c r="P118" s="96"/>
      <c r="Q118" s="96"/>
      <c r="R118" s="96"/>
      <c r="S118" s="96"/>
      <c r="T118" s="96"/>
      <c r="U118" s="96"/>
      <c r="V118" s="96"/>
    </row>
    <row r="119">
      <c r="A119" s="97">
        <f t="shared" si="3"/>
        <v>115</v>
      </c>
      <c r="B119" s="89"/>
      <c r="C119" s="89"/>
      <c r="D119" s="89"/>
      <c r="E119" s="89"/>
      <c r="F119" s="96"/>
      <c r="G119" s="96"/>
      <c r="H119" s="96"/>
      <c r="I119" s="96"/>
      <c r="J119" s="96"/>
      <c r="K119" s="96"/>
      <c r="L119" s="96"/>
      <c r="M119" s="96"/>
      <c r="N119" s="96"/>
      <c r="O119" s="96"/>
      <c r="P119" s="96"/>
      <c r="Q119" s="96"/>
      <c r="R119" s="96"/>
      <c r="S119" s="96"/>
      <c r="T119" s="96"/>
      <c r="U119" s="96"/>
      <c r="V119" s="96"/>
    </row>
    <row r="120">
      <c r="A120" s="97">
        <f t="shared" si="3"/>
        <v>116</v>
      </c>
      <c r="B120" s="89"/>
      <c r="C120" s="89"/>
      <c r="D120" s="89"/>
      <c r="E120" s="89"/>
      <c r="F120" s="96"/>
      <c r="G120" s="96"/>
      <c r="H120" s="96"/>
      <c r="I120" s="96"/>
      <c r="J120" s="96"/>
      <c r="K120" s="96"/>
      <c r="L120" s="96"/>
      <c r="M120" s="96"/>
      <c r="N120" s="96"/>
      <c r="O120" s="96"/>
      <c r="P120" s="96"/>
      <c r="Q120" s="96"/>
      <c r="R120" s="96"/>
      <c r="S120" s="96"/>
      <c r="T120" s="96"/>
      <c r="U120" s="96"/>
      <c r="V120" s="96"/>
    </row>
    <row r="121">
      <c r="A121" s="97">
        <f t="shared" si="3"/>
        <v>117</v>
      </c>
      <c r="B121" s="89"/>
      <c r="C121" s="89"/>
      <c r="D121" s="89"/>
      <c r="E121" s="89"/>
      <c r="F121" s="96"/>
      <c r="G121" s="96"/>
      <c r="H121" s="96"/>
      <c r="I121" s="96"/>
      <c r="J121" s="96"/>
      <c r="K121" s="96"/>
      <c r="L121" s="96"/>
      <c r="M121" s="96"/>
      <c r="N121" s="96"/>
      <c r="O121" s="96"/>
      <c r="P121" s="96"/>
      <c r="Q121" s="96"/>
      <c r="R121" s="96"/>
      <c r="S121" s="96"/>
      <c r="T121" s="96"/>
      <c r="U121" s="96"/>
      <c r="V121" s="96"/>
    </row>
    <row r="122">
      <c r="A122" s="97">
        <f t="shared" si="3"/>
        <v>118</v>
      </c>
      <c r="B122" s="89"/>
      <c r="C122" s="89"/>
      <c r="D122" s="89"/>
      <c r="E122" s="89"/>
      <c r="F122" s="96"/>
      <c r="G122" s="96"/>
      <c r="H122" s="96"/>
      <c r="I122" s="96"/>
      <c r="J122" s="96"/>
      <c r="K122" s="96"/>
      <c r="L122" s="96"/>
      <c r="M122" s="96"/>
      <c r="N122" s="96"/>
      <c r="O122" s="96"/>
      <c r="P122" s="96"/>
      <c r="Q122" s="96"/>
      <c r="R122" s="96"/>
      <c r="S122" s="96"/>
      <c r="T122" s="96"/>
      <c r="U122" s="96"/>
      <c r="V122" s="96"/>
    </row>
    <row r="123">
      <c r="A123" s="97">
        <f t="shared" si="3"/>
        <v>119</v>
      </c>
      <c r="B123" s="89"/>
      <c r="C123" s="89"/>
      <c r="D123" s="89"/>
      <c r="E123" s="89"/>
      <c r="F123" s="96"/>
      <c r="G123" s="96"/>
      <c r="H123" s="96"/>
      <c r="I123" s="96"/>
      <c r="J123" s="96"/>
      <c r="K123" s="96"/>
      <c r="L123" s="96"/>
      <c r="M123" s="96"/>
      <c r="N123" s="96"/>
      <c r="O123" s="96"/>
      <c r="P123" s="96"/>
      <c r="Q123" s="96"/>
      <c r="R123" s="96"/>
      <c r="S123" s="96"/>
      <c r="T123" s="96"/>
      <c r="U123" s="96"/>
      <c r="V123" s="96"/>
    </row>
    <row r="124">
      <c r="A124" s="97">
        <f t="shared" si="3"/>
        <v>120</v>
      </c>
      <c r="B124" s="89"/>
      <c r="C124" s="89"/>
      <c r="D124" s="89"/>
      <c r="E124" s="89"/>
      <c r="F124" s="96"/>
      <c r="G124" s="96"/>
      <c r="H124" s="96"/>
      <c r="I124" s="96"/>
      <c r="J124" s="96"/>
      <c r="K124" s="96"/>
      <c r="L124" s="96"/>
      <c r="M124" s="96"/>
      <c r="N124" s="96"/>
      <c r="O124" s="96"/>
      <c r="P124" s="96"/>
      <c r="Q124" s="96"/>
      <c r="R124" s="96"/>
      <c r="S124" s="96"/>
      <c r="T124" s="96"/>
      <c r="U124" s="96"/>
      <c r="V124" s="96"/>
    </row>
    <row r="125">
      <c r="A125" s="97">
        <f t="shared" si="3"/>
        <v>121</v>
      </c>
      <c r="B125" s="89"/>
      <c r="C125" s="89"/>
      <c r="D125" s="89"/>
      <c r="E125" s="89"/>
      <c r="F125" s="96"/>
      <c r="G125" s="96"/>
      <c r="H125" s="96"/>
      <c r="I125" s="96"/>
      <c r="J125" s="96"/>
      <c r="K125" s="96"/>
      <c r="L125" s="96"/>
      <c r="M125" s="96"/>
      <c r="N125" s="96"/>
      <c r="O125" s="96"/>
      <c r="P125" s="96"/>
      <c r="Q125" s="96"/>
      <c r="R125" s="96"/>
      <c r="S125" s="96"/>
      <c r="T125" s="96"/>
      <c r="U125" s="96"/>
      <c r="V125" s="96"/>
    </row>
    <row r="126">
      <c r="A126" s="97">
        <f t="shared" si="3"/>
        <v>122</v>
      </c>
      <c r="B126" s="89"/>
      <c r="C126" s="89"/>
      <c r="D126" s="89"/>
      <c r="E126" s="89"/>
      <c r="F126" s="96"/>
      <c r="G126" s="96"/>
      <c r="H126" s="96"/>
      <c r="I126" s="96"/>
      <c r="J126" s="96"/>
      <c r="K126" s="96"/>
      <c r="L126" s="96"/>
      <c r="M126" s="96"/>
      <c r="N126" s="96"/>
      <c r="O126" s="96"/>
      <c r="P126" s="96"/>
      <c r="Q126" s="96"/>
      <c r="R126" s="96"/>
      <c r="S126" s="96"/>
      <c r="T126" s="96"/>
      <c r="U126" s="96"/>
      <c r="V126" s="96"/>
    </row>
    <row r="127">
      <c r="A127" s="97">
        <f t="shared" si="3"/>
        <v>123</v>
      </c>
      <c r="B127" s="89"/>
      <c r="C127" s="89"/>
      <c r="D127" s="89"/>
      <c r="E127" s="89"/>
      <c r="F127" s="96"/>
      <c r="G127" s="96"/>
      <c r="H127" s="96"/>
      <c r="I127" s="96"/>
      <c r="J127" s="96"/>
      <c r="K127" s="96"/>
      <c r="L127" s="96"/>
      <c r="M127" s="96"/>
      <c r="N127" s="96"/>
      <c r="O127" s="96"/>
      <c r="P127" s="96"/>
      <c r="Q127" s="96"/>
      <c r="R127" s="96"/>
      <c r="S127" s="96"/>
      <c r="T127" s="96"/>
      <c r="U127" s="96"/>
      <c r="V127" s="96"/>
    </row>
    <row r="128">
      <c r="A128" s="97">
        <f t="shared" si="3"/>
        <v>124</v>
      </c>
      <c r="B128" s="89"/>
      <c r="C128" s="89"/>
      <c r="D128" s="89"/>
      <c r="E128" s="89"/>
      <c r="F128" s="96"/>
      <c r="G128" s="96"/>
      <c r="H128" s="96"/>
      <c r="I128" s="96"/>
      <c r="J128" s="96"/>
      <c r="K128" s="96"/>
      <c r="L128" s="96"/>
      <c r="M128" s="96"/>
      <c r="N128" s="96"/>
      <c r="O128" s="96"/>
      <c r="P128" s="96"/>
      <c r="Q128" s="96"/>
      <c r="R128" s="96"/>
      <c r="S128" s="96"/>
      <c r="T128" s="96"/>
      <c r="U128" s="96"/>
      <c r="V128" s="96"/>
    </row>
    <row r="129">
      <c r="A129" s="97">
        <f t="shared" si="3"/>
        <v>125</v>
      </c>
      <c r="B129" s="89"/>
      <c r="C129" s="89"/>
      <c r="D129" s="89"/>
      <c r="E129" s="89"/>
      <c r="F129" s="96"/>
      <c r="G129" s="96"/>
      <c r="H129" s="96"/>
      <c r="I129" s="96"/>
      <c r="J129" s="96"/>
      <c r="K129" s="96"/>
      <c r="L129" s="96"/>
      <c r="M129" s="96"/>
      <c r="N129" s="96"/>
      <c r="O129" s="96"/>
      <c r="P129" s="96"/>
      <c r="Q129" s="96"/>
      <c r="R129" s="96"/>
      <c r="S129" s="96"/>
      <c r="T129" s="96"/>
      <c r="U129" s="96"/>
      <c r="V129" s="96"/>
    </row>
    <row r="130">
      <c r="A130" s="97">
        <f t="shared" si="3"/>
        <v>126</v>
      </c>
      <c r="B130" s="89"/>
      <c r="C130" s="89"/>
      <c r="D130" s="89"/>
      <c r="E130" s="89"/>
      <c r="F130" s="96"/>
      <c r="G130" s="96"/>
      <c r="H130" s="96"/>
      <c r="I130" s="96"/>
      <c r="J130" s="96"/>
      <c r="K130" s="96"/>
      <c r="L130" s="96"/>
      <c r="M130" s="96"/>
      <c r="N130" s="96"/>
      <c r="O130" s="96"/>
      <c r="P130" s="96"/>
      <c r="Q130" s="96"/>
      <c r="R130" s="96"/>
      <c r="S130" s="96"/>
      <c r="T130" s="96"/>
      <c r="U130" s="96"/>
      <c r="V130" s="96"/>
    </row>
    <row r="131">
      <c r="A131" s="97">
        <f t="shared" si="3"/>
        <v>127</v>
      </c>
      <c r="B131" s="89"/>
      <c r="C131" s="89"/>
      <c r="D131" s="89"/>
      <c r="E131" s="89"/>
      <c r="F131" s="96"/>
      <c r="G131" s="96"/>
      <c r="H131" s="96"/>
      <c r="I131" s="96"/>
      <c r="J131" s="96"/>
      <c r="K131" s="96"/>
      <c r="L131" s="96"/>
      <c r="M131" s="96"/>
      <c r="N131" s="96"/>
      <c r="O131" s="96"/>
      <c r="P131" s="96"/>
      <c r="Q131" s="96"/>
      <c r="R131" s="96"/>
      <c r="S131" s="96"/>
      <c r="T131" s="96"/>
      <c r="U131" s="96"/>
      <c r="V131" s="96"/>
    </row>
    <row r="132">
      <c r="A132" s="97">
        <f t="shared" si="3"/>
        <v>128</v>
      </c>
      <c r="B132" s="89"/>
      <c r="C132" s="89"/>
      <c r="D132" s="89"/>
      <c r="E132" s="89"/>
      <c r="F132" s="96"/>
      <c r="G132" s="96"/>
      <c r="H132" s="96"/>
      <c r="I132" s="96"/>
      <c r="J132" s="96"/>
      <c r="K132" s="96"/>
      <c r="L132" s="96"/>
      <c r="M132" s="96"/>
      <c r="N132" s="96"/>
      <c r="O132" s="96"/>
      <c r="P132" s="96"/>
      <c r="Q132" s="96"/>
      <c r="R132" s="96"/>
      <c r="S132" s="96"/>
      <c r="T132" s="96"/>
      <c r="U132" s="96"/>
      <c r="V132" s="96"/>
    </row>
    <row r="133">
      <c r="A133" s="97">
        <f t="shared" si="3"/>
        <v>129</v>
      </c>
      <c r="B133" s="89"/>
      <c r="C133" s="89"/>
      <c r="D133" s="89"/>
      <c r="E133" s="89"/>
      <c r="F133" s="96"/>
      <c r="G133" s="96"/>
      <c r="H133" s="96"/>
      <c r="I133" s="96"/>
      <c r="J133" s="96"/>
      <c r="K133" s="96"/>
      <c r="L133" s="96"/>
      <c r="M133" s="96"/>
      <c r="N133" s="96"/>
      <c r="O133" s="96"/>
      <c r="P133" s="96"/>
      <c r="Q133" s="96"/>
      <c r="R133" s="96"/>
      <c r="S133" s="96"/>
      <c r="T133" s="96"/>
      <c r="U133" s="96"/>
      <c r="V133" s="96"/>
    </row>
    <row r="134">
      <c r="A134" s="97">
        <f t="shared" si="3"/>
        <v>130</v>
      </c>
      <c r="B134" s="89"/>
      <c r="C134" s="89"/>
      <c r="D134" s="89"/>
      <c r="E134" s="89"/>
      <c r="F134" s="96"/>
      <c r="G134" s="96"/>
      <c r="H134" s="96"/>
      <c r="I134" s="96"/>
      <c r="J134" s="96"/>
      <c r="K134" s="96"/>
      <c r="L134" s="96"/>
      <c r="M134" s="96"/>
      <c r="N134" s="96"/>
      <c r="O134" s="96"/>
      <c r="P134" s="96"/>
      <c r="Q134" s="96"/>
      <c r="R134" s="96"/>
      <c r="S134" s="96"/>
      <c r="T134" s="96"/>
      <c r="U134" s="96"/>
      <c r="V134" s="96"/>
    </row>
    <row r="135">
      <c r="A135" s="97">
        <f t="shared" si="3"/>
        <v>131</v>
      </c>
      <c r="B135" s="89"/>
      <c r="C135" s="89"/>
      <c r="D135" s="89"/>
      <c r="E135" s="89"/>
      <c r="F135" s="96"/>
      <c r="G135" s="96"/>
      <c r="H135" s="96"/>
      <c r="I135" s="96"/>
      <c r="J135" s="96"/>
      <c r="K135" s="96"/>
      <c r="L135" s="96"/>
      <c r="M135" s="96"/>
      <c r="N135" s="96"/>
      <c r="O135" s="96"/>
      <c r="P135" s="96"/>
      <c r="Q135" s="96"/>
      <c r="R135" s="96"/>
      <c r="S135" s="96"/>
      <c r="T135" s="96"/>
      <c r="U135" s="96"/>
      <c r="V135" s="96"/>
    </row>
    <row r="136">
      <c r="A136" s="97">
        <f t="shared" si="3"/>
        <v>132</v>
      </c>
      <c r="B136" s="89"/>
      <c r="C136" s="89"/>
      <c r="D136" s="89"/>
      <c r="E136" s="89"/>
      <c r="F136" s="96"/>
      <c r="G136" s="96"/>
      <c r="H136" s="96"/>
      <c r="I136" s="96"/>
      <c r="J136" s="96"/>
      <c r="K136" s="96"/>
      <c r="L136" s="96"/>
      <c r="M136" s="96"/>
      <c r="N136" s="96"/>
      <c r="O136" s="96"/>
      <c r="P136" s="96"/>
      <c r="Q136" s="96"/>
      <c r="R136" s="96"/>
      <c r="S136" s="96"/>
      <c r="T136" s="96"/>
      <c r="U136" s="96"/>
      <c r="V136" s="96"/>
    </row>
    <row r="137">
      <c r="A137" s="97">
        <f t="shared" si="3"/>
        <v>133</v>
      </c>
      <c r="B137" s="89"/>
      <c r="C137" s="89"/>
      <c r="D137" s="89"/>
      <c r="E137" s="89"/>
      <c r="F137" s="96"/>
      <c r="G137" s="96"/>
      <c r="H137" s="96"/>
      <c r="I137" s="96"/>
      <c r="J137" s="96"/>
      <c r="K137" s="96"/>
      <c r="L137" s="96"/>
      <c r="M137" s="96"/>
      <c r="N137" s="96"/>
      <c r="O137" s="96"/>
      <c r="P137" s="96"/>
      <c r="Q137" s="96"/>
      <c r="R137" s="96"/>
      <c r="S137" s="96"/>
      <c r="T137" s="96"/>
      <c r="U137" s="96"/>
      <c r="V137" s="96"/>
    </row>
    <row r="138">
      <c r="A138" s="97">
        <f t="shared" si="3"/>
        <v>134</v>
      </c>
      <c r="B138" s="89"/>
      <c r="C138" s="89"/>
      <c r="D138" s="89"/>
      <c r="E138" s="89"/>
      <c r="F138" s="96"/>
      <c r="G138" s="96"/>
      <c r="H138" s="96"/>
      <c r="I138" s="96"/>
      <c r="J138" s="96"/>
      <c r="K138" s="96"/>
      <c r="L138" s="96"/>
      <c r="M138" s="96"/>
      <c r="N138" s="96"/>
      <c r="O138" s="96"/>
      <c r="P138" s="96"/>
      <c r="Q138" s="96"/>
      <c r="R138" s="96"/>
      <c r="S138" s="96"/>
      <c r="T138" s="96"/>
      <c r="U138" s="96"/>
      <c r="V138" s="96"/>
    </row>
    <row r="139">
      <c r="A139" s="97">
        <f t="shared" si="3"/>
        <v>135</v>
      </c>
      <c r="B139" s="89"/>
      <c r="C139" s="89"/>
      <c r="D139" s="89"/>
      <c r="E139" s="89"/>
      <c r="F139" s="96"/>
      <c r="G139" s="96"/>
      <c r="H139" s="96"/>
      <c r="I139" s="96"/>
      <c r="J139" s="96"/>
      <c r="K139" s="96"/>
      <c r="L139" s="96"/>
      <c r="M139" s="96"/>
      <c r="N139" s="96"/>
      <c r="O139" s="96"/>
      <c r="P139" s="96"/>
      <c r="Q139" s="96"/>
      <c r="R139" s="96"/>
      <c r="S139" s="96"/>
      <c r="T139" s="96"/>
      <c r="U139" s="96"/>
      <c r="V139" s="96"/>
    </row>
    <row r="140">
      <c r="A140" s="97">
        <f t="shared" si="3"/>
        <v>136</v>
      </c>
      <c r="B140" s="89"/>
      <c r="C140" s="89"/>
      <c r="D140" s="89"/>
      <c r="E140" s="89"/>
      <c r="F140" s="96"/>
      <c r="G140" s="96"/>
      <c r="H140" s="96"/>
      <c r="I140" s="96"/>
      <c r="J140" s="96"/>
      <c r="K140" s="96"/>
      <c r="L140" s="96"/>
      <c r="M140" s="96"/>
      <c r="N140" s="96"/>
      <c r="O140" s="96"/>
      <c r="P140" s="96"/>
      <c r="Q140" s="96"/>
      <c r="R140" s="96"/>
      <c r="S140" s="96"/>
      <c r="T140" s="96"/>
      <c r="U140" s="96"/>
      <c r="V140" s="96"/>
    </row>
    <row r="141">
      <c r="A141" s="97">
        <f t="shared" si="3"/>
        <v>137</v>
      </c>
      <c r="B141" s="89"/>
      <c r="C141" s="89"/>
      <c r="D141" s="89"/>
      <c r="E141" s="89"/>
      <c r="F141" s="96"/>
      <c r="G141" s="96"/>
      <c r="H141" s="96"/>
      <c r="I141" s="96"/>
      <c r="J141" s="96"/>
      <c r="K141" s="96"/>
      <c r="L141" s="96"/>
      <c r="M141" s="96"/>
      <c r="N141" s="96"/>
      <c r="O141" s="96"/>
      <c r="P141" s="96"/>
      <c r="Q141" s="96"/>
      <c r="R141" s="96"/>
      <c r="S141" s="96"/>
      <c r="T141" s="96"/>
      <c r="U141" s="96"/>
      <c r="V141" s="96"/>
    </row>
    <row r="142">
      <c r="A142" s="97">
        <f t="shared" si="3"/>
        <v>138</v>
      </c>
      <c r="B142" s="89"/>
      <c r="C142" s="89"/>
      <c r="D142" s="89"/>
      <c r="E142" s="89"/>
      <c r="F142" s="96"/>
      <c r="G142" s="96"/>
      <c r="H142" s="96"/>
      <c r="I142" s="96"/>
      <c r="J142" s="96"/>
      <c r="K142" s="96"/>
      <c r="L142" s="96"/>
      <c r="M142" s="96"/>
      <c r="N142" s="96"/>
      <c r="O142" s="96"/>
      <c r="P142" s="96"/>
      <c r="Q142" s="96"/>
      <c r="R142" s="96"/>
      <c r="S142" s="96"/>
      <c r="T142" s="96"/>
      <c r="U142" s="96"/>
      <c r="V142" s="96"/>
    </row>
    <row r="143">
      <c r="A143" s="97">
        <f t="shared" si="3"/>
        <v>139</v>
      </c>
      <c r="B143" s="89"/>
      <c r="C143" s="89"/>
      <c r="D143" s="89"/>
      <c r="E143" s="89"/>
      <c r="F143" s="96"/>
      <c r="G143" s="96"/>
      <c r="H143" s="96"/>
      <c r="I143" s="96"/>
      <c r="J143" s="96"/>
      <c r="K143" s="96"/>
      <c r="L143" s="96"/>
      <c r="M143" s="96"/>
      <c r="N143" s="96"/>
      <c r="O143" s="96"/>
      <c r="P143" s="96"/>
      <c r="Q143" s="96"/>
      <c r="R143" s="96"/>
      <c r="S143" s="96"/>
      <c r="T143" s="96"/>
      <c r="U143" s="96"/>
      <c r="V143" s="96"/>
    </row>
    <row r="144">
      <c r="A144" s="97">
        <f t="shared" si="3"/>
        <v>140</v>
      </c>
      <c r="B144" s="89"/>
      <c r="C144" s="89"/>
      <c r="D144" s="89"/>
      <c r="E144" s="89"/>
      <c r="F144" s="96"/>
      <c r="G144" s="96"/>
      <c r="H144" s="96"/>
      <c r="I144" s="96"/>
      <c r="J144" s="96"/>
      <c r="K144" s="96"/>
      <c r="L144" s="96"/>
      <c r="M144" s="96"/>
      <c r="N144" s="96"/>
      <c r="O144" s="96"/>
      <c r="P144" s="96"/>
      <c r="Q144" s="96"/>
      <c r="R144" s="96"/>
      <c r="S144" s="96"/>
      <c r="T144" s="96"/>
      <c r="U144" s="96"/>
      <c r="V144" s="96"/>
    </row>
    <row r="145">
      <c r="A145" s="97">
        <f t="shared" si="3"/>
        <v>141</v>
      </c>
      <c r="B145" s="89"/>
      <c r="C145" s="89"/>
      <c r="D145" s="89"/>
      <c r="E145" s="89"/>
      <c r="F145" s="96"/>
      <c r="G145" s="96"/>
      <c r="H145" s="96"/>
      <c r="I145" s="96"/>
      <c r="J145" s="96"/>
      <c r="K145" s="96"/>
      <c r="L145" s="96"/>
      <c r="M145" s="96"/>
      <c r="N145" s="96"/>
      <c r="O145" s="96"/>
      <c r="P145" s="96"/>
      <c r="Q145" s="96"/>
      <c r="R145" s="96"/>
      <c r="S145" s="96"/>
      <c r="T145" s="96"/>
      <c r="U145" s="96"/>
      <c r="V145" s="96"/>
    </row>
    <row r="146">
      <c r="A146" s="97">
        <f t="shared" si="3"/>
        <v>142</v>
      </c>
      <c r="B146" s="89"/>
      <c r="C146" s="89"/>
      <c r="D146" s="89"/>
      <c r="E146" s="89"/>
      <c r="F146" s="96"/>
      <c r="G146" s="96"/>
      <c r="H146" s="96"/>
      <c r="I146" s="96"/>
      <c r="J146" s="96"/>
      <c r="K146" s="96"/>
      <c r="L146" s="96"/>
      <c r="M146" s="96"/>
      <c r="N146" s="96"/>
      <c r="O146" s="96"/>
      <c r="P146" s="96"/>
      <c r="Q146" s="96"/>
      <c r="R146" s="96"/>
      <c r="S146" s="96"/>
      <c r="T146" s="96"/>
      <c r="U146" s="96"/>
      <c r="V146" s="96"/>
    </row>
    <row r="147">
      <c r="A147" s="97">
        <f t="shared" si="3"/>
        <v>143</v>
      </c>
      <c r="B147" s="89"/>
      <c r="C147" s="89"/>
      <c r="D147" s="89"/>
      <c r="E147" s="89"/>
      <c r="F147" s="96"/>
      <c r="G147" s="96"/>
      <c r="H147" s="96"/>
      <c r="I147" s="96"/>
      <c r="J147" s="96"/>
      <c r="K147" s="96"/>
      <c r="L147" s="96"/>
      <c r="M147" s="96"/>
      <c r="N147" s="96"/>
      <c r="O147" s="96"/>
      <c r="P147" s="96"/>
      <c r="Q147" s="96"/>
      <c r="R147" s="96"/>
      <c r="S147" s="96"/>
      <c r="T147" s="96"/>
      <c r="U147" s="96"/>
      <c r="V147" s="96"/>
    </row>
    <row r="148">
      <c r="A148" s="97">
        <f t="shared" si="3"/>
        <v>144</v>
      </c>
      <c r="B148" s="89"/>
      <c r="C148" s="89"/>
      <c r="D148" s="89"/>
      <c r="E148" s="89"/>
      <c r="F148" s="96"/>
      <c r="G148" s="96"/>
      <c r="H148" s="96"/>
      <c r="I148" s="96"/>
      <c r="J148" s="96"/>
      <c r="K148" s="96"/>
      <c r="L148" s="96"/>
      <c r="M148" s="96"/>
      <c r="N148" s="96"/>
      <c r="O148" s="96"/>
      <c r="P148" s="96"/>
      <c r="Q148" s="96"/>
      <c r="R148" s="96"/>
      <c r="S148" s="96"/>
      <c r="T148" s="96"/>
      <c r="U148" s="96"/>
      <c r="V148" s="96"/>
    </row>
    <row r="149">
      <c r="A149" s="97">
        <f t="shared" si="3"/>
        <v>145</v>
      </c>
      <c r="B149" s="89"/>
      <c r="C149" s="89"/>
      <c r="D149" s="89"/>
      <c r="E149" s="89"/>
      <c r="F149" s="96"/>
      <c r="G149" s="96"/>
      <c r="H149" s="96"/>
      <c r="I149" s="96"/>
      <c r="J149" s="96"/>
      <c r="K149" s="96"/>
      <c r="L149" s="96"/>
      <c r="M149" s="96"/>
      <c r="N149" s="96"/>
      <c r="O149" s="96"/>
      <c r="P149" s="96"/>
      <c r="Q149" s="96"/>
      <c r="R149" s="96"/>
      <c r="S149" s="96"/>
      <c r="T149" s="96"/>
      <c r="U149" s="96"/>
      <c r="V149" s="96"/>
    </row>
    <row r="150">
      <c r="A150" s="97">
        <f t="shared" si="3"/>
        <v>146</v>
      </c>
      <c r="B150" s="89"/>
      <c r="C150" s="89"/>
      <c r="D150" s="89"/>
      <c r="E150" s="89"/>
      <c r="F150" s="96"/>
      <c r="G150" s="96"/>
      <c r="H150" s="96"/>
      <c r="I150" s="96"/>
      <c r="J150" s="96"/>
      <c r="K150" s="96"/>
      <c r="L150" s="96"/>
      <c r="M150" s="96"/>
      <c r="N150" s="96"/>
      <c r="O150" s="96"/>
      <c r="P150" s="96"/>
      <c r="Q150" s="96"/>
      <c r="R150" s="96"/>
      <c r="S150" s="96"/>
      <c r="T150" s="96"/>
      <c r="U150" s="96"/>
      <c r="V150" s="96"/>
    </row>
    <row r="151">
      <c r="A151" s="97">
        <f t="shared" si="3"/>
        <v>147</v>
      </c>
      <c r="B151" s="89"/>
      <c r="C151" s="89"/>
      <c r="D151" s="89"/>
      <c r="E151" s="89"/>
      <c r="F151" s="96"/>
      <c r="G151" s="96"/>
      <c r="H151" s="96"/>
      <c r="I151" s="96"/>
      <c r="J151" s="96"/>
      <c r="K151" s="96"/>
      <c r="L151" s="96"/>
      <c r="M151" s="96"/>
      <c r="N151" s="96"/>
      <c r="O151" s="96"/>
      <c r="P151" s="96"/>
      <c r="Q151" s="96"/>
      <c r="R151" s="96"/>
      <c r="S151" s="96"/>
      <c r="T151" s="96"/>
      <c r="U151" s="96"/>
      <c r="V151" s="96"/>
    </row>
    <row r="152">
      <c r="A152" s="97">
        <f t="shared" si="3"/>
        <v>148</v>
      </c>
      <c r="B152" s="89"/>
      <c r="C152" s="89"/>
      <c r="D152" s="89"/>
      <c r="E152" s="89"/>
      <c r="F152" s="96"/>
      <c r="G152" s="96"/>
      <c r="H152" s="96"/>
      <c r="I152" s="96"/>
      <c r="J152" s="96"/>
      <c r="K152" s="96"/>
      <c r="L152" s="96"/>
      <c r="M152" s="96"/>
      <c r="N152" s="96"/>
      <c r="O152" s="96"/>
      <c r="P152" s="96"/>
      <c r="Q152" s="96"/>
      <c r="R152" s="96"/>
      <c r="S152" s="96"/>
      <c r="T152" s="96"/>
      <c r="U152" s="96"/>
      <c r="V152" s="96"/>
    </row>
    <row r="153">
      <c r="A153" s="97">
        <f t="shared" si="3"/>
        <v>149</v>
      </c>
      <c r="B153" s="89"/>
      <c r="C153" s="89"/>
      <c r="D153" s="89"/>
      <c r="E153" s="89"/>
      <c r="F153" s="96"/>
      <c r="G153" s="96"/>
      <c r="H153" s="96"/>
      <c r="I153" s="96"/>
      <c r="J153" s="96"/>
      <c r="K153" s="96"/>
      <c r="L153" s="96"/>
      <c r="M153" s="96"/>
      <c r="N153" s="96"/>
      <c r="O153" s="96"/>
      <c r="P153" s="96"/>
      <c r="Q153" s="96"/>
      <c r="R153" s="96"/>
      <c r="S153" s="96"/>
      <c r="T153" s="96"/>
      <c r="U153" s="96"/>
      <c r="V153" s="96"/>
    </row>
    <row r="154">
      <c r="A154" s="97">
        <f t="shared" si="3"/>
        <v>150</v>
      </c>
      <c r="B154" s="89"/>
      <c r="C154" s="89"/>
      <c r="D154" s="89"/>
      <c r="E154" s="89"/>
      <c r="F154" s="96"/>
      <c r="G154" s="96"/>
      <c r="H154" s="96"/>
      <c r="I154" s="96"/>
      <c r="J154" s="96"/>
      <c r="K154" s="96"/>
      <c r="L154" s="96"/>
      <c r="M154" s="96"/>
      <c r="N154" s="96"/>
      <c r="O154" s="96"/>
      <c r="P154" s="96"/>
      <c r="Q154" s="96"/>
      <c r="R154" s="96"/>
      <c r="S154" s="96"/>
      <c r="T154" s="96"/>
      <c r="U154" s="96"/>
      <c r="V154" s="96"/>
    </row>
    <row r="155">
      <c r="A155" s="97">
        <f t="shared" si="3"/>
        <v>151</v>
      </c>
      <c r="B155" s="89"/>
      <c r="C155" s="89"/>
      <c r="D155" s="89"/>
      <c r="E155" s="89"/>
      <c r="F155" s="96"/>
      <c r="G155" s="96"/>
      <c r="H155" s="96"/>
      <c r="I155" s="96"/>
      <c r="J155" s="96"/>
      <c r="K155" s="96"/>
      <c r="L155" s="96"/>
      <c r="M155" s="96"/>
      <c r="N155" s="96"/>
      <c r="O155" s="96"/>
      <c r="P155" s="96"/>
      <c r="Q155" s="96"/>
      <c r="R155" s="96"/>
      <c r="S155" s="96"/>
      <c r="T155" s="96"/>
      <c r="U155" s="96"/>
      <c r="V155" s="96"/>
    </row>
    <row r="156">
      <c r="A156" s="97">
        <f t="shared" si="3"/>
        <v>152</v>
      </c>
      <c r="B156" s="89"/>
      <c r="C156" s="89"/>
      <c r="D156" s="89"/>
      <c r="E156" s="89"/>
      <c r="F156" s="96"/>
      <c r="G156" s="96"/>
      <c r="H156" s="96"/>
      <c r="I156" s="96"/>
      <c r="J156" s="96"/>
      <c r="K156" s="96"/>
      <c r="L156" s="96"/>
      <c r="M156" s="96"/>
      <c r="N156" s="96"/>
      <c r="O156" s="96"/>
      <c r="P156" s="96"/>
      <c r="Q156" s="96"/>
      <c r="R156" s="96"/>
      <c r="S156" s="96"/>
      <c r="T156" s="96"/>
      <c r="U156" s="96"/>
      <c r="V156" s="96"/>
    </row>
    <row r="157">
      <c r="A157" s="97">
        <f t="shared" si="3"/>
        <v>153</v>
      </c>
      <c r="B157" s="89"/>
      <c r="C157" s="89"/>
      <c r="D157" s="89"/>
      <c r="E157" s="89"/>
      <c r="F157" s="96"/>
      <c r="G157" s="96"/>
      <c r="H157" s="96"/>
      <c r="I157" s="96"/>
      <c r="J157" s="96"/>
      <c r="K157" s="96"/>
      <c r="L157" s="96"/>
      <c r="M157" s="96"/>
      <c r="N157" s="96"/>
      <c r="O157" s="96"/>
      <c r="P157" s="96"/>
      <c r="Q157" s="96"/>
      <c r="R157" s="96"/>
      <c r="S157" s="96"/>
      <c r="T157" s="96"/>
      <c r="U157" s="96"/>
      <c r="V157" s="96"/>
    </row>
    <row r="158">
      <c r="A158" s="97">
        <f t="shared" si="3"/>
        <v>154</v>
      </c>
      <c r="B158" s="89"/>
      <c r="C158" s="89"/>
      <c r="D158" s="89"/>
      <c r="E158" s="89"/>
      <c r="F158" s="96"/>
      <c r="G158" s="96"/>
      <c r="H158" s="96"/>
      <c r="I158" s="96"/>
      <c r="J158" s="96"/>
      <c r="K158" s="96"/>
      <c r="L158" s="96"/>
      <c r="M158" s="96"/>
      <c r="N158" s="96"/>
      <c r="O158" s="96"/>
      <c r="P158" s="96"/>
      <c r="Q158" s="96"/>
      <c r="R158" s="96"/>
      <c r="S158" s="96"/>
      <c r="T158" s="96"/>
      <c r="U158" s="96"/>
      <c r="V158" s="96"/>
    </row>
    <row r="159">
      <c r="A159" s="97">
        <f t="shared" si="3"/>
        <v>155</v>
      </c>
      <c r="B159" s="89"/>
      <c r="C159" s="89"/>
      <c r="D159" s="89"/>
      <c r="E159" s="89"/>
      <c r="F159" s="96"/>
      <c r="G159" s="96"/>
      <c r="H159" s="96"/>
      <c r="I159" s="96"/>
      <c r="J159" s="96"/>
      <c r="K159" s="96"/>
      <c r="L159" s="96"/>
      <c r="M159" s="96"/>
      <c r="N159" s="96"/>
      <c r="O159" s="96"/>
      <c r="P159" s="96"/>
      <c r="Q159" s="96"/>
      <c r="R159" s="96"/>
      <c r="S159" s="96"/>
      <c r="T159" s="96"/>
      <c r="U159" s="96"/>
      <c r="V159" s="96"/>
    </row>
    <row r="160">
      <c r="A160" s="97">
        <f t="shared" si="3"/>
        <v>156</v>
      </c>
      <c r="B160" s="89"/>
      <c r="C160" s="89"/>
      <c r="D160" s="89"/>
      <c r="E160" s="89"/>
      <c r="F160" s="96"/>
      <c r="G160" s="96"/>
      <c r="H160" s="96"/>
      <c r="I160" s="96"/>
      <c r="J160" s="96"/>
      <c r="K160" s="96"/>
      <c r="L160" s="96"/>
      <c r="M160" s="96"/>
      <c r="N160" s="96"/>
      <c r="O160" s="96"/>
      <c r="P160" s="96"/>
      <c r="Q160" s="96"/>
      <c r="R160" s="96"/>
      <c r="S160" s="96"/>
      <c r="T160" s="96"/>
      <c r="U160" s="96"/>
      <c r="V160" s="96"/>
    </row>
    <row r="161">
      <c r="A161" s="97">
        <f t="shared" si="3"/>
        <v>157</v>
      </c>
      <c r="B161" s="89"/>
      <c r="C161" s="89"/>
      <c r="D161" s="89"/>
      <c r="E161" s="89"/>
      <c r="F161" s="96"/>
      <c r="G161" s="96"/>
      <c r="H161" s="96"/>
      <c r="I161" s="96"/>
      <c r="J161" s="96"/>
      <c r="K161" s="96"/>
      <c r="L161" s="96"/>
      <c r="M161" s="96"/>
      <c r="N161" s="96"/>
      <c r="O161" s="96"/>
      <c r="P161" s="96"/>
      <c r="Q161" s="96"/>
      <c r="R161" s="96"/>
      <c r="S161" s="96"/>
      <c r="T161" s="96"/>
      <c r="U161" s="96"/>
      <c r="V161" s="96"/>
    </row>
    <row r="162">
      <c r="A162" s="97">
        <f t="shared" si="3"/>
        <v>158</v>
      </c>
      <c r="B162" s="89"/>
      <c r="C162" s="89"/>
      <c r="D162" s="89"/>
      <c r="E162" s="89"/>
      <c r="F162" s="96"/>
      <c r="G162" s="96"/>
      <c r="H162" s="96"/>
      <c r="I162" s="96"/>
      <c r="J162" s="96"/>
      <c r="K162" s="96"/>
      <c r="L162" s="96"/>
      <c r="M162" s="96"/>
      <c r="N162" s="96"/>
      <c r="O162" s="96"/>
      <c r="P162" s="96"/>
      <c r="Q162" s="96"/>
      <c r="R162" s="96"/>
      <c r="S162" s="96"/>
      <c r="T162" s="96"/>
      <c r="U162" s="96"/>
      <c r="V162" s="96"/>
    </row>
    <row r="163">
      <c r="A163" s="97">
        <f t="shared" si="3"/>
        <v>159</v>
      </c>
      <c r="B163" s="89"/>
      <c r="C163" s="89"/>
      <c r="D163" s="89"/>
      <c r="E163" s="89"/>
      <c r="F163" s="96"/>
      <c r="G163" s="96"/>
      <c r="H163" s="96"/>
      <c r="I163" s="96"/>
      <c r="J163" s="96"/>
      <c r="K163" s="96"/>
      <c r="L163" s="96"/>
      <c r="M163" s="96"/>
      <c r="N163" s="96"/>
      <c r="O163" s="96"/>
      <c r="P163" s="96"/>
      <c r="Q163" s="96"/>
      <c r="R163" s="96"/>
      <c r="S163" s="96"/>
      <c r="T163" s="96"/>
      <c r="U163" s="96"/>
      <c r="V163" s="96"/>
    </row>
    <row r="164">
      <c r="A164" s="97">
        <f t="shared" si="3"/>
        <v>160</v>
      </c>
      <c r="B164" s="89"/>
      <c r="C164" s="89"/>
      <c r="D164" s="89"/>
      <c r="E164" s="89"/>
      <c r="F164" s="96"/>
      <c r="G164" s="96"/>
      <c r="H164" s="96"/>
      <c r="I164" s="96"/>
      <c r="J164" s="96"/>
      <c r="K164" s="96"/>
      <c r="L164" s="96"/>
      <c r="M164" s="96"/>
      <c r="N164" s="96"/>
      <c r="O164" s="96"/>
      <c r="P164" s="96"/>
      <c r="Q164" s="96"/>
      <c r="R164" s="96"/>
      <c r="S164" s="96"/>
      <c r="T164" s="96"/>
      <c r="U164" s="96"/>
      <c r="V164" s="96"/>
    </row>
    <row r="165">
      <c r="A165" s="97">
        <f t="shared" si="3"/>
        <v>161</v>
      </c>
      <c r="B165" s="89"/>
      <c r="C165" s="89"/>
      <c r="D165" s="89"/>
      <c r="E165" s="89"/>
      <c r="F165" s="96"/>
      <c r="G165" s="96"/>
      <c r="H165" s="96"/>
      <c r="I165" s="96"/>
      <c r="J165" s="96"/>
      <c r="K165" s="96"/>
      <c r="L165" s="96"/>
      <c r="M165" s="96"/>
      <c r="N165" s="96"/>
      <c r="O165" s="96"/>
      <c r="P165" s="96"/>
      <c r="Q165" s="96"/>
      <c r="R165" s="96"/>
      <c r="S165" s="96"/>
      <c r="T165" s="96"/>
      <c r="U165" s="96"/>
      <c r="V165" s="96"/>
    </row>
    <row r="166">
      <c r="A166" s="97">
        <f t="shared" si="3"/>
        <v>162</v>
      </c>
      <c r="B166" s="89"/>
      <c r="C166" s="89"/>
      <c r="D166" s="89"/>
      <c r="E166" s="89"/>
      <c r="F166" s="96"/>
      <c r="G166" s="96"/>
      <c r="H166" s="96"/>
      <c r="I166" s="96"/>
      <c r="J166" s="96"/>
      <c r="K166" s="96"/>
      <c r="L166" s="96"/>
      <c r="M166" s="96"/>
      <c r="N166" s="96"/>
      <c r="O166" s="96"/>
      <c r="P166" s="96"/>
      <c r="Q166" s="96"/>
      <c r="R166" s="96"/>
      <c r="S166" s="96"/>
      <c r="T166" s="96"/>
      <c r="U166" s="96"/>
      <c r="V166" s="96"/>
    </row>
    <row r="167">
      <c r="A167" s="97">
        <f t="shared" si="3"/>
        <v>163</v>
      </c>
      <c r="B167" s="89"/>
      <c r="C167" s="89"/>
      <c r="D167" s="89"/>
      <c r="E167" s="89"/>
      <c r="F167" s="96"/>
      <c r="G167" s="96"/>
      <c r="H167" s="96"/>
      <c r="I167" s="96"/>
      <c r="J167" s="96"/>
      <c r="K167" s="96"/>
      <c r="L167" s="96"/>
      <c r="M167" s="96"/>
      <c r="N167" s="96"/>
      <c r="O167" s="96"/>
      <c r="P167" s="96"/>
      <c r="Q167" s="96"/>
      <c r="R167" s="96"/>
      <c r="S167" s="96"/>
      <c r="T167" s="96"/>
      <c r="U167" s="96"/>
      <c r="V167" s="96"/>
    </row>
    <row r="168">
      <c r="A168" s="97">
        <f t="shared" si="3"/>
        <v>164</v>
      </c>
      <c r="B168" s="89"/>
      <c r="C168" s="89"/>
      <c r="D168" s="89"/>
      <c r="E168" s="89"/>
      <c r="F168" s="96"/>
      <c r="G168" s="96"/>
      <c r="H168" s="96"/>
      <c r="I168" s="96"/>
      <c r="J168" s="96"/>
      <c r="K168" s="96"/>
      <c r="L168" s="96"/>
      <c r="M168" s="96"/>
      <c r="N168" s="96"/>
      <c r="O168" s="96"/>
      <c r="P168" s="96"/>
      <c r="Q168" s="96"/>
      <c r="R168" s="96"/>
      <c r="S168" s="96"/>
      <c r="T168" s="96"/>
      <c r="U168" s="96"/>
      <c r="V168" s="96"/>
    </row>
    <row r="169">
      <c r="A169" s="97">
        <f t="shared" si="3"/>
        <v>165</v>
      </c>
      <c r="B169" s="89"/>
      <c r="C169" s="89"/>
      <c r="D169" s="89"/>
      <c r="E169" s="89"/>
      <c r="F169" s="96"/>
      <c r="G169" s="96"/>
      <c r="H169" s="96"/>
      <c r="I169" s="96"/>
      <c r="J169" s="96"/>
      <c r="K169" s="96"/>
      <c r="L169" s="96"/>
      <c r="M169" s="96"/>
      <c r="N169" s="96"/>
      <c r="O169" s="96"/>
      <c r="P169" s="96"/>
      <c r="Q169" s="96"/>
      <c r="R169" s="96"/>
      <c r="S169" s="96"/>
      <c r="T169" s="96"/>
      <c r="U169" s="96"/>
      <c r="V169" s="96"/>
    </row>
    <row r="170">
      <c r="A170" s="97">
        <f t="shared" si="3"/>
        <v>166</v>
      </c>
      <c r="B170" s="89"/>
      <c r="C170" s="89"/>
      <c r="D170" s="89"/>
      <c r="E170" s="89"/>
      <c r="F170" s="96"/>
      <c r="G170" s="96"/>
      <c r="H170" s="96"/>
      <c r="I170" s="96"/>
      <c r="J170" s="96"/>
      <c r="K170" s="96"/>
      <c r="L170" s="96"/>
      <c r="M170" s="96"/>
      <c r="N170" s="96"/>
      <c r="O170" s="96"/>
      <c r="P170" s="96"/>
      <c r="Q170" s="96"/>
      <c r="R170" s="96"/>
      <c r="S170" s="96"/>
      <c r="T170" s="96"/>
      <c r="U170" s="96"/>
      <c r="V170" s="96"/>
    </row>
    <row r="171">
      <c r="A171" s="97">
        <f t="shared" si="3"/>
        <v>167</v>
      </c>
      <c r="B171" s="89"/>
      <c r="C171" s="89"/>
      <c r="D171" s="89"/>
      <c r="E171" s="89"/>
      <c r="F171" s="96"/>
      <c r="G171" s="96"/>
      <c r="H171" s="96"/>
      <c r="I171" s="96"/>
      <c r="J171" s="96"/>
      <c r="K171" s="96"/>
      <c r="L171" s="96"/>
      <c r="M171" s="96"/>
      <c r="N171" s="96"/>
      <c r="O171" s="96"/>
      <c r="P171" s="96"/>
      <c r="Q171" s="96"/>
      <c r="R171" s="96"/>
      <c r="S171" s="96"/>
      <c r="T171" s="96"/>
      <c r="U171" s="96"/>
      <c r="V171" s="96"/>
    </row>
    <row r="172">
      <c r="A172" s="97">
        <f t="shared" si="3"/>
        <v>168</v>
      </c>
      <c r="B172" s="89"/>
      <c r="C172" s="89"/>
      <c r="D172" s="89"/>
      <c r="E172" s="89"/>
      <c r="F172" s="96"/>
      <c r="G172" s="96"/>
      <c r="H172" s="96"/>
      <c r="I172" s="96"/>
      <c r="J172" s="96"/>
      <c r="K172" s="96"/>
      <c r="L172" s="96"/>
      <c r="M172" s="96"/>
      <c r="N172" s="96"/>
      <c r="O172" s="96"/>
      <c r="P172" s="96"/>
      <c r="Q172" s="96"/>
      <c r="R172" s="96"/>
      <c r="S172" s="96"/>
      <c r="T172" s="96"/>
      <c r="U172" s="96"/>
      <c r="V172" s="96"/>
    </row>
    <row r="173">
      <c r="A173" s="97">
        <f t="shared" si="3"/>
        <v>169</v>
      </c>
      <c r="B173" s="89"/>
      <c r="C173" s="89"/>
      <c r="D173" s="89"/>
      <c r="E173" s="89"/>
      <c r="F173" s="96"/>
      <c r="G173" s="96"/>
      <c r="H173" s="96"/>
      <c r="I173" s="96"/>
      <c r="J173" s="96"/>
      <c r="K173" s="96"/>
      <c r="L173" s="96"/>
      <c r="M173" s="96"/>
      <c r="N173" s="96"/>
      <c r="O173" s="96"/>
      <c r="P173" s="96"/>
      <c r="Q173" s="96"/>
      <c r="R173" s="96"/>
      <c r="S173" s="96"/>
      <c r="T173" s="96"/>
      <c r="U173" s="96"/>
      <c r="V173" s="96"/>
    </row>
    <row r="174">
      <c r="A174" s="97">
        <f t="shared" si="3"/>
        <v>170</v>
      </c>
      <c r="B174" s="89"/>
      <c r="C174" s="89"/>
      <c r="D174" s="89"/>
      <c r="E174" s="89"/>
      <c r="F174" s="96"/>
      <c r="G174" s="96"/>
      <c r="H174" s="96"/>
      <c r="I174" s="96"/>
      <c r="J174" s="96"/>
      <c r="K174" s="96"/>
      <c r="L174" s="96"/>
      <c r="M174" s="96"/>
      <c r="N174" s="96"/>
      <c r="O174" s="96"/>
      <c r="P174" s="96"/>
      <c r="Q174" s="96"/>
      <c r="R174" s="96"/>
      <c r="S174" s="96"/>
      <c r="T174" s="96"/>
      <c r="U174" s="96"/>
      <c r="V174" s="96"/>
    </row>
    <row r="175">
      <c r="A175" s="97">
        <f t="shared" si="3"/>
        <v>171</v>
      </c>
      <c r="B175" s="89"/>
      <c r="C175" s="89"/>
      <c r="D175" s="89"/>
      <c r="E175" s="89"/>
      <c r="F175" s="96"/>
      <c r="G175" s="96"/>
      <c r="H175" s="96"/>
      <c r="I175" s="96"/>
      <c r="J175" s="96"/>
      <c r="K175" s="96"/>
      <c r="L175" s="96"/>
      <c r="M175" s="96"/>
      <c r="N175" s="96"/>
      <c r="O175" s="96"/>
      <c r="P175" s="96"/>
      <c r="Q175" s="96"/>
      <c r="R175" s="96"/>
      <c r="S175" s="96"/>
      <c r="T175" s="96"/>
      <c r="U175" s="96"/>
      <c r="V175" s="96"/>
    </row>
    <row r="176">
      <c r="A176" s="97">
        <f t="shared" si="3"/>
        <v>172</v>
      </c>
      <c r="B176" s="89"/>
      <c r="C176" s="89"/>
      <c r="D176" s="89"/>
      <c r="E176" s="89"/>
      <c r="F176" s="96"/>
      <c r="G176" s="96"/>
      <c r="H176" s="96"/>
      <c r="I176" s="96"/>
      <c r="J176" s="96"/>
      <c r="K176" s="96"/>
      <c r="L176" s="96"/>
      <c r="M176" s="96"/>
      <c r="N176" s="96"/>
      <c r="O176" s="96"/>
      <c r="P176" s="96"/>
      <c r="Q176" s="96"/>
      <c r="R176" s="96"/>
      <c r="S176" s="96"/>
      <c r="T176" s="96"/>
      <c r="U176" s="96"/>
      <c r="V176" s="96"/>
    </row>
    <row r="177">
      <c r="A177" s="97">
        <f t="shared" si="3"/>
        <v>173</v>
      </c>
      <c r="B177" s="89"/>
      <c r="C177" s="89"/>
      <c r="D177" s="89"/>
      <c r="E177" s="89"/>
      <c r="F177" s="96"/>
      <c r="G177" s="96"/>
      <c r="H177" s="96"/>
      <c r="I177" s="96"/>
      <c r="J177" s="96"/>
      <c r="K177" s="96"/>
      <c r="L177" s="96"/>
      <c r="M177" s="96"/>
      <c r="N177" s="96"/>
      <c r="O177" s="96"/>
      <c r="P177" s="96"/>
      <c r="Q177" s="96"/>
      <c r="R177" s="96"/>
      <c r="S177" s="96"/>
      <c r="T177" s="96"/>
      <c r="U177" s="96"/>
      <c r="V177" s="96"/>
    </row>
    <row r="178">
      <c r="A178" s="97">
        <f t="shared" si="3"/>
        <v>174</v>
      </c>
      <c r="B178" s="89"/>
      <c r="C178" s="89"/>
      <c r="D178" s="89"/>
      <c r="E178" s="89"/>
      <c r="F178" s="96"/>
      <c r="G178" s="96"/>
      <c r="H178" s="96"/>
      <c r="I178" s="96"/>
      <c r="J178" s="96"/>
      <c r="K178" s="96"/>
      <c r="L178" s="96"/>
      <c r="M178" s="96"/>
      <c r="N178" s="96"/>
      <c r="O178" s="96"/>
      <c r="P178" s="96"/>
      <c r="Q178" s="96"/>
      <c r="R178" s="96"/>
      <c r="S178" s="96"/>
      <c r="T178" s="96"/>
      <c r="U178" s="96"/>
      <c r="V178" s="96"/>
    </row>
    <row r="179">
      <c r="A179" s="97">
        <f t="shared" si="3"/>
        <v>175</v>
      </c>
      <c r="B179" s="89"/>
      <c r="C179" s="89"/>
      <c r="D179" s="89"/>
      <c r="E179" s="89"/>
      <c r="F179" s="96"/>
      <c r="G179" s="96"/>
      <c r="H179" s="96"/>
      <c r="I179" s="96"/>
      <c r="J179" s="96"/>
      <c r="K179" s="96"/>
      <c r="L179" s="96"/>
      <c r="M179" s="96"/>
      <c r="N179" s="96"/>
      <c r="O179" s="96"/>
      <c r="P179" s="96"/>
      <c r="Q179" s="96"/>
      <c r="R179" s="96"/>
      <c r="S179" s="96"/>
      <c r="T179" s="96"/>
      <c r="U179" s="96"/>
      <c r="V179" s="96"/>
    </row>
    <row r="180">
      <c r="A180" s="97">
        <f t="shared" si="3"/>
        <v>176</v>
      </c>
      <c r="B180" s="89"/>
      <c r="C180" s="89"/>
      <c r="D180" s="89"/>
      <c r="E180" s="89"/>
      <c r="F180" s="96"/>
      <c r="G180" s="96"/>
      <c r="H180" s="96"/>
      <c r="I180" s="96"/>
      <c r="J180" s="96"/>
      <c r="K180" s="96"/>
      <c r="L180" s="96"/>
      <c r="M180" s="96"/>
      <c r="N180" s="96"/>
      <c r="O180" s="96"/>
      <c r="P180" s="96"/>
      <c r="Q180" s="96"/>
      <c r="R180" s="96"/>
      <c r="S180" s="96"/>
      <c r="T180" s="96"/>
      <c r="U180" s="96"/>
      <c r="V180" s="96"/>
    </row>
    <row r="181">
      <c r="A181" s="97">
        <f t="shared" si="3"/>
        <v>177</v>
      </c>
      <c r="B181" s="89"/>
      <c r="C181" s="89"/>
      <c r="D181" s="89"/>
      <c r="E181" s="89"/>
      <c r="F181" s="96"/>
      <c r="G181" s="96"/>
      <c r="H181" s="96"/>
      <c r="I181" s="96"/>
      <c r="J181" s="96"/>
      <c r="K181" s="96"/>
      <c r="L181" s="96"/>
      <c r="M181" s="96"/>
      <c r="N181" s="96"/>
      <c r="O181" s="96"/>
      <c r="P181" s="96"/>
      <c r="Q181" s="96"/>
      <c r="R181" s="96"/>
      <c r="S181" s="96"/>
      <c r="T181" s="96"/>
      <c r="U181" s="96"/>
      <c r="V181" s="96"/>
    </row>
    <row r="182">
      <c r="A182" s="97">
        <f t="shared" si="3"/>
        <v>178</v>
      </c>
      <c r="B182" s="89"/>
      <c r="C182" s="89"/>
      <c r="D182" s="89"/>
      <c r="E182" s="89"/>
      <c r="F182" s="96"/>
      <c r="G182" s="96"/>
      <c r="H182" s="96"/>
      <c r="I182" s="96"/>
      <c r="J182" s="96"/>
      <c r="K182" s="96"/>
      <c r="L182" s="96"/>
      <c r="M182" s="96"/>
      <c r="N182" s="96"/>
      <c r="O182" s="96"/>
      <c r="P182" s="96"/>
      <c r="Q182" s="96"/>
      <c r="R182" s="96"/>
      <c r="S182" s="96"/>
      <c r="T182" s="96"/>
      <c r="U182" s="96"/>
      <c r="V182" s="96"/>
    </row>
    <row r="183">
      <c r="A183" s="97">
        <f t="shared" si="3"/>
        <v>179</v>
      </c>
      <c r="B183" s="89"/>
      <c r="C183" s="89"/>
      <c r="D183" s="89"/>
      <c r="E183" s="89"/>
      <c r="F183" s="96"/>
      <c r="G183" s="96"/>
      <c r="H183" s="96"/>
      <c r="I183" s="96"/>
      <c r="J183" s="96"/>
      <c r="K183" s="96"/>
      <c r="L183" s="96"/>
      <c r="M183" s="96"/>
      <c r="N183" s="96"/>
      <c r="O183" s="96"/>
      <c r="P183" s="96"/>
      <c r="Q183" s="96"/>
      <c r="R183" s="96"/>
      <c r="S183" s="96"/>
      <c r="T183" s="96"/>
      <c r="U183" s="96"/>
      <c r="V183" s="96"/>
    </row>
    <row r="184">
      <c r="A184" s="97">
        <f t="shared" si="3"/>
        <v>180</v>
      </c>
      <c r="B184" s="89"/>
      <c r="C184" s="89"/>
      <c r="D184" s="89"/>
      <c r="E184" s="89"/>
      <c r="F184" s="96"/>
      <c r="G184" s="96"/>
      <c r="H184" s="96"/>
      <c r="I184" s="96"/>
      <c r="J184" s="96"/>
      <c r="K184" s="96"/>
      <c r="L184" s="96"/>
      <c r="M184" s="96"/>
      <c r="N184" s="96"/>
      <c r="O184" s="96"/>
      <c r="P184" s="96"/>
      <c r="Q184" s="96"/>
      <c r="R184" s="96"/>
      <c r="S184" s="96"/>
      <c r="T184" s="96"/>
      <c r="U184" s="96"/>
      <c r="V184" s="96"/>
    </row>
    <row r="185">
      <c r="A185" s="97">
        <f t="shared" si="3"/>
        <v>181</v>
      </c>
      <c r="B185" s="89"/>
      <c r="C185" s="89"/>
      <c r="D185" s="89"/>
      <c r="E185" s="89"/>
      <c r="F185" s="96"/>
      <c r="G185" s="96"/>
      <c r="H185" s="96"/>
      <c r="I185" s="96"/>
      <c r="J185" s="96"/>
      <c r="K185" s="96"/>
      <c r="L185" s="96"/>
      <c r="M185" s="96"/>
      <c r="N185" s="96"/>
      <c r="O185" s="96"/>
      <c r="P185" s="96"/>
      <c r="Q185" s="96"/>
      <c r="R185" s="96"/>
      <c r="S185" s="96"/>
      <c r="T185" s="96"/>
      <c r="U185" s="96"/>
      <c r="V185" s="96"/>
    </row>
    <row r="186">
      <c r="A186" s="97">
        <f t="shared" si="3"/>
        <v>182</v>
      </c>
      <c r="B186" s="89"/>
      <c r="C186" s="89"/>
      <c r="D186" s="89"/>
      <c r="E186" s="89"/>
      <c r="F186" s="96"/>
      <c r="G186" s="96"/>
      <c r="H186" s="96"/>
      <c r="I186" s="96"/>
      <c r="J186" s="96"/>
      <c r="K186" s="96"/>
      <c r="L186" s="96"/>
      <c r="M186" s="96"/>
      <c r="N186" s="96"/>
      <c r="O186" s="96"/>
      <c r="P186" s="96"/>
      <c r="Q186" s="96"/>
      <c r="R186" s="96"/>
      <c r="S186" s="96"/>
      <c r="T186" s="96"/>
      <c r="U186" s="96"/>
      <c r="V186" s="96"/>
    </row>
    <row r="187">
      <c r="A187" s="97">
        <f t="shared" si="3"/>
        <v>183</v>
      </c>
      <c r="B187" s="89"/>
      <c r="C187" s="89"/>
      <c r="D187" s="89"/>
      <c r="E187" s="89"/>
      <c r="F187" s="96"/>
      <c r="G187" s="96"/>
      <c r="H187" s="96"/>
      <c r="I187" s="96"/>
      <c r="J187" s="96"/>
      <c r="K187" s="96"/>
      <c r="L187" s="96"/>
      <c r="M187" s="96"/>
      <c r="N187" s="96"/>
      <c r="O187" s="96"/>
      <c r="P187" s="96"/>
      <c r="Q187" s="96"/>
      <c r="R187" s="96"/>
      <c r="S187" s="96"/>
      <c r="T187" s="96"/>
      <c r="U187" s="96"/>
      <c r="V187" s="96"/>
    </row>
    <row r="188">
      <c r="A188" s="97">
        <f t="shared" si="3"/>
        <v>184</v>
      </c>
      <c r="B188" s="89"/>
      <c r="C188" s="89"/>
      <c r="D188" s="89"/>
      <c r="E188" s="89"/>
      <c r="F188" s="96"/>
      <c r="G188" s="96"/>
      <c r="H188" s="96"/>
      <c r="I188" s="96"/>
      <c r="J188" s="96"/>
      <c r="K188" s="96"/>
      <c r="L188" s="96"/>
      <c r="M188" s="96"/>
      <c r="N188" s="96"/>
      <c r="O188" s="96"/>
      <c r="P188" s="96"/>
      <c r="Q188" s="96"/>
      <c r="R188" s="96"/>
      <c r="S188" s="96"/>
      <c r="T188" s="96"/>
      <c r="U188" s="96"/>
      <c r="V188" s="96"/>
    </row>
    <row r="189">
      <c r="A189" s="97">
        <f t="shared" si="3"/>
        <v>185</v>
      </c>
      <c r="B189" s="89"/>
      <c r="C189" s="89"/>
      <c r="D189" s="89"/>
      <c r="E189" s="89"/>
      <c r="F189" s="96"/>
      <c r="G189" s="96"/>
      <c r="H189" s="96"/>
      <c r="I189" s="96"/>
      <c r="J189" s="96"/>
      <c r="K189" s="96"/>
      <c r="L189" s="96"/>
      <c r="M189" s="96"/>
      <c r="N189" s="96"/>
      <c r="O189" s="96"/>
      <c r="P189" s="96"/>
      <c r="Q189" s="96"/>
      <c r="R189" s="96"/>
      <c r="S189" s="96"/>
      <c r="T189" s="96"/>
      <c r="U189" s="96"/>
      <c r="V189" s="96"/>
    </row>
    <row r="190">
      <c r="A190" s="97">
        <f t="shared" si="3"/>
        <v>186</v>
      </c>
      <c r="B190" s="89"/>
      <c r="C190" s="89"/>
      <c r="D190" s="89"/>
      <c r="E190" s="89"/>
      <c r="F190" s="96"/>
      <c r="G190" s="96"/>
      <c r="H190" s="96"/>
      <c r="I190" s="96"/>
      <c r="J190" s="96"/>
      <c r="K190" s="96"/>
      <c r="L190" s="96"/>
      <c r="M190" s="96"/>
      <c r="N190" s="96"/>
      <c r="O190" s="96"/>
      <c r="P190" s="96"/>
      <c r="Q190" s="96"/>
      <c r="R190" s="96"/>
      <c r="S190" s="96"/>
      <c r="T190" s="96"/>
      <c r="U190" s="96"/>
      <c r="V190" s="96"/>
    </row>
    <row r="191">
      <c r="A191" s="97">
        <f t="shared" si="3"/>
        <v>187</v>
      </c>
      <c r="B191" s="89"/>
      <c r="C191" s="89"/>
      <c r="D191" s="89"/>
      <c r="E191" s="89"/>
      <c r="F191" s="96"/>
      <c r="G191" s="96"/>
      <c r="H191" s="96"/>
      <c r="I191" s="96"/>
      <c r="J191" s="96"/>
      <c r="K191" s="96"/>
      <c r="L191" s="96"/>
      <c r="M191" s="96"/>
      <c r="N191" s="96"/>
      <c r="O191" s="96"/>
      <c r="P191" s="96"/>
      <c r="Q191" s="96"/>
      <c r="R191" s="96"/>
      <c r="S191" s="96"/>
      <c r="T191" s="96"/>
      <c r="U191" s="96"/>
      <c r="V191" s="96"/>
    </row>
    <row r="192">
      <c r="A192" s="97">
        <f t="shared" si="3"/>
        <v>188</v>
      </c>
      <c r="B192" s="89"/>
      <c r="C192" s="89"/>
      <c r="D192" s="89"/>
      <c r="E192" s="89"/>
      <c r="F192" s="96"/>
      <c r="G192" s="96"/>
      <c r="H192" s="96"/>
      <c r="I192" s="96"/>
      <c r="J192" s="96"/>
      <c r="K192" s="96"/>
      <c r="L192" s="96"/>
      <c r="M192" s="96"/>
      <c r="N192" s="96"/>
      <c r="O192" s="96"/>
      <c r="P192" s="96"/>
      <c r="Q192" s="96"/>
      <c r="R192" s="96"/>
      <c r="S192" s="96"/>
      <c r="T192" s="96"/>
      <c r="U192" s="96"/>
      <c r="V192" s="96"/>
    </row>
    <row r="193">
      <c r="A193" s="97">
        <f t="shared" si="3"/>
        <v>189</v>
      </c>
      <c r="B193" s="89"/>
      <c r="C193" s="89"/>
      <c r="D193" s="89"/>
      <c r="E193" s="89"/>
      <c r="F193" s="96"/>
      <c r="G193" s="96"/>
      <c r="H193" s="96"/>
      <c r="I193" s="96"/>
      <c r="J193" s="96"/>
      <c r="K193" s="96"/>
      <c r="L193" s="96"/>
      <c r="M193" s="96"/>
      <c r="N193" s="96"/>
      <c r="O193" s="96"/>
      <c r="P193" s="96"/>
      <c r="Q193" s="96"/>
      <c r="R193" s="96"/>
      <c r="S193" s="96"/>
      <c r="T193" s="96"/>
      <c r="U193" s="96"/>
      <c r="V193" s="96"/>
    </row>
    <row r="194">
      <c r="A194" s="97">
        <f t="shared" si="3"/>
        <v>190</v>
      </c>
      <c r="B194" s="89"/>
      <c r="C194" s="89"/>
      <c r="D194" s="89"/>
      <c r="E194" s="89"/>
      <c r="F194" s="96"/>
      <c r="G194" s="96"/>
      <c r="H194" s="96"/>
      <c r="I194" s="96"/>
      <c r="J194" s="96"/>
      <c r="K194" s="96"/>
      <c r="L194" s="96"/>
      <c r="M194" s="96"/>
      <c r="N194" s="96"/>
      <c r="O194" s="96"/>
      <c r="P194" s="96"/>
      <c r="Q194" s="96"/>
      <c r="R194" s="96"/>
      <c r="S194" s="96"/>
      <c r="T194" s="96"/>
      <c r="U194" s="96"/>
      <c r="V194" s="96"/>
    </row>
    <row r="195">
      <c r="A195" s="97">
        <f t="shared" si="3"/>
        <v>191</v>
      </c>
      <c r="B195" s="89"/>
      <c r="C195" s="89"/>
      <c r="D195" s="89"/>
      <c r="E195" s="89"/>
      <c r="F195" s="96"/>
      <c r="G195" s="96"/>
      <c r="H195" s="96"/>
      <c r="I195" s="96"/>
      <c r="J195" s="96"/>
      <c r="K195" s="96"/>
      <c r="L195" s="96"/>
      <c r="M195" s="96"/>
      <c r="N195" s="96"/>
      <c r="O195" s="96"/>
      <c r="P195" s="96"/>
      <c r="Q195" s="96"/>
      <c r="R195" s="96"/>
      <c r="S195" s="96"/>
      <c r="T195" s="96"/>
      <c r="U195" s="96"/>
      <c r="V195" s="96"/>
    </row>
    <row r="196">
      <c r="A196" s="97">
        <f t="shared" si="3"/>
        <v>192</v>
      </c>
      <c r="B196" s="89"/>
      <c r="C196" s="89"/>
      <c r="D196" s="89"/>
      <c r="E196" s="89"/>
      <c r="F196" s="96"/>
      <c r="G196" s="96"/>
      <c r="H196" s="96"/>
      <c r="I196" s="96"/>
      <c r="J196" s="96"/>
      <c r="K196" s="96"/>
      <c r="L196" s="96"/>
      <c r="M196" s="96"/>
      <c r="N196" s="96"/>
      <c r="O196" s="96"/>
      <c r="P196" s="96"/>
      <c r="Q196" s="96"/>
      <c r="R196" s="96"/>
      <c r="S196" s="96"/>
      <c r="T196" s="96"/>
      <c r="U196" s="96"/>
      <c r="V196" s="96"/>
    </row>
    <row r="197">
      <c r="A197" s="97">
        <f t="shared" si="3"/>
        <v>193</v>
      </c>
      <c r="B197" s="89"/>
      <c r="C197" s="89"/>
      <c r="D197" s="89"/>
      <c r="E197" s="89"/>
      <c r="F197" s="96"/>
      <c r="G197" s="96"/>
      <c r="H197" s="96"/>
      <c r="I197" s="96"/>
      <c r="J197" s="96"/>
      <c r="K197" s="96"/>
      <c r="L197" s="96"/>
      <c r="M197" s="96"/>
      <c r="N197" s="96"/>
      <c r="O197" s="96"/>
      <c r="P197" s="96"/>
      <c r="Q197" s="96"/>
      <c r="R197" s="96"/>
      <c r="S197" s="96"/>
      <c r="T197" s="96"/>
      <c r="U197" s="96"/>
      <c r="V197" s="96"/>
    </row>
    <row r="198">
      <c r="A198" s="97">
        <f t="shared" si="3"/>
        <v>194</v>
      </c>
      <c r="B198" s="89"/>
      <c r="C198" s="89"/>
      <c r="D198" s="89"/>
      <c r="E198" s="89"/>
      <c r="F198" s="96"/>
      <c r="G198" s="96"/>
      <c r="H198" s="96"/>
      <c r="I198" s="96"/>
      <c r="J198" s="96"/>
      <c r="K198" s="96"/>
      <c r="L198" s="96"/>
      <c r="M198" s="96"/>
      <c r="N198" s="96"/>
      <c r="O198" s="96"/>
      <c r="P198" s="96"/>
      <c r="Q198" s="96"/>
      <c r="R198" s="96"/>
      <c r="S198" s="96"/>
      <c r="T198" s="96"/>
      <c r="U198" s="96"/>
      <c r="V198" s="96"/>
    </row>
    <row r="199">
      <c r="A199" s="97">
        <f t="shared" si="3"/>
        <v>195</v>
      </c>
      <c r="B199" s="89"/>
      <c r="C199" s="89"/>
      <c r="D199" s="89"/>
      <c r="E199" s="89"/>
      <c r="F199" s="96"/>
      <c r="G199" s="96"/>
      <c r="H199" s="96"/>
      <c r="I199" s="96"/>
      <c r="J199" s="96"/>
      <c r="K199" s="96"/>
      <c r="L199" s="96"/>
      <c r="M199" s="96"/>
      <c r="N199" s="96"/>
      <c r="O199" s="96"/>
      <c r="P199" s="96"/>
      <c r="Q199" s="96"/>
      <c r="R199" s="96"/>
      <c r="S199" s="96"/>
      <c r="T199" s="96"/>
      <c r="U199" s="96"/>
      <c r="V199" s="96"/>
    </row>
    <row r="200">
      <c r="A200" s="97">
        <f t="shared" si="3"/>
        <v>196</v>
      </c>
      <c r="B200" s="89"/>
      <c r="C200" s="89"/>
      <c r="D200" s="89"/>
      <c r="E200" s="89"/>
      <c r="F200" s="96"/>
      <c r="G200" s="96"/>
      <c r="H200" s="96"/>
      <c r="I200" s="96"/>
      <c r="J200" s="96"/>
      <c r="K200" s="96"/>
      <c r="L200" s="96"/>
      <c r="M200" s="96"/>
      <c r="N200" s="96"/>
      <c r="O200" s="96"/>
      <c r="P200" s="96"/>
      <c r="Q200" s="96"/>
      <c r="R200" s="96"/>
      <c r="S200" s="96"/>
      <c r="T200" s="96"/>
      <c r="U200" s="96"/>
      <c r="V200" s="96"/>
    </row>
    <row r="201">
      <c r="A201" s="97">
        <f t="shared" si="3"/>
        <v>197</v>
      </c>
      <c r="B201" s="89"/>
      <c r="C201" s="89"/>
      <c r="D201" s="89"/>
      <c r="E201" s="89"/>
      <c r="F201" s="96"/>
      <c r="G201" s="96"/>
      <c r="H201" s="96"/>
      <c r="I201" s="96"/>
      <c r="J201" s="96"/>
      <c r="K201" s="96"/>
      <c r="L201" s="96"/>
      <c r="M201" s="96"/>
      <c r="N201" s="96"/>
      <c r="O201" s="96"/>
      <c r="P201" s="96"/>
      <c r="Q201" s="96"/>
      <c r="R201" s="96"/>
      <c r="S201" s="96"/>
      <c r="T201" s="96"/>
      <c r="U201" s="96"/>
      <c r="V201" s="96"/>
    </row>
    <row r="202">
      <c r="A202" s="97">
        <f t="shared" si="3"/>
        <v>198</v>
      </c>
      <c r="B202" s="89"/>
      <c r="C202" s="89"/>
      <c r="D202" s="89"/>
      <c r="E202" s="89"/>
      <c r="F202" s="96"/>
      <c r="G202" s="96"/>
      <c r="H202" s="96"/>
      <c r="I202" s="96"/>
      <c r="J202" s="96"/>
      <c r="K202" s="96"/>
      <c r="L202" s="96"/>
      <c r="M202" s="96"/>
      <c r="N202" s="96"/>
      <c r="O202" s="96"/>
      <c r="P202" s="96"/>
      <c r="Q202" s="96"/>
      <c r="R202" s="96"/>
      <c r="S202" s="96"/>
      <c r="T202" s="96"/>
      <c r="U202" s="96"/>
      <c r="V202" s="96"/>
    </row>
    <row r="203">
      <c r="A203" s="97">
        <f t="shared" si="3"/>
        <v>199</v>
      </c>
      <c r="B203" s="89"/>
      <c r="C203" s="89"/>
      <c r="D203" s="89"/>
      <c r="E203" s="89"/>
      <c r="F203" s="96"/>
      <c r="G203" s="96"/>
      <c r="H203" s="96"/>
      <c r="I203" s="96"/>
      <c r="J203" s="96"/>
      <c r="K203" s="96"/>
      <c r="L203" s="96"/>
      <c r="M203" s="96"/>
      <c r="N203" s="96"/>
      <c r="O203" s="96"/>
      <c r="P203" s="96"/>
      <c r="Q203" s="96"/>
      <c r="R203" s="96"/>
      <c r="S203" s="96"/>
      <c r="T203" s="96"/>
      <c r="U203" s="96"/>
      <c r="V203" s="96"/>
    </row>
    <row r="204">
      <c r="A204" s="97">
        <f t="shared" si="3"/>
        <v>200</v>
      </c>
      <c r="B204" s="89"/>
      <c r="C204" s="89"/>
      <c r="D204" s="89"/>
      <c r="E204" s="89"/>
      <c r="F204" s="96"/>
      <c r="G204" s="96"/>
      <c r="H204" s="96"/>
      <c r="I204" s="96"/>
      <c r="J204" s="96"/>
      <c r="K204" s="96"/>
      <c r="L204" s="96"/>
      <c r="M204" s="96"/>
      <c r="N204" s="96"/>
      <c r="O204" s="96"/>
      <c r="P204" s="96"/>
      <c r="Q204" s="96"/>
      <c r="R204" s="96"/>
      <c r="S204" s="96"/>
      <c r="T204" s="96"/>
      <c r="U204" s="96"/>
      <c r="V204" s="96"/>
    </row>
    <row r="205">
      <c r="A205" s="97">
        <f t="shared" si="3"/>
        <v>201</v>
      </c>
      <c r="B205" s="89"/>
      <c r="C205" s="89"/>
      <c r="D205" s="89"/>
      <c r="E205" s="89"/>
      <c r="F205" s="96"/>
      <c r="G205" s="96"/>
      <c r="H205" s="96"/>
      <c r="I205" s="96"/>
      <c r="J205" s="96"/>
      <c r="K205" s="96"/>
      <c r="L205" s="96"/>
      <c r="M205" s="96"/>
      <c r="N205" s="96"/>
      <c r="O205" s="96"/>
      <c r="P205" s="96"/>
      <c r="Q205" s="96"/>
      <c r="R205" s="96"/>
      <c r="S205" s="96"/>
      <c r="T205" s="96"/>
      <c r="U205" s="96"/>
      <c r="V205" s="96"/>
    </row>
    <row r="206">
      <c r="A206" s="97">
        <f t="shared" si="3"/>
        <v>202</v>
      </c>
      <c r="B206" s="89"/>
      <c r="C206" s="89"/>
      <c r="D206" s="89"/>
      <c r="E206" s="89"/>
      <c r="F206" s="96"/>
      <c r="G206" s="96"/>
      <c r="H206" s="96"/>
      <c r="I206" s="96"/>
      <c r="J206" s="96"/>
      <c r="K206" s="96"/>
      <c r="L206" s="96"/>
      <c r="M206" s="96"/>
      <c r="N206" s="96"/>
      <c r="O206" s="96"/>
      <c r="P206" s="96"/>
      <c r="Q206" s="96"/>
      <c r="R206" s="96"/>
      <c r="S206" s="96"/>
      <c r="T206" s="96"/>
      <c r="U206" s="96"/>
      <c r="V206" s="96"/>
    </row>
    <row r="207">
      <c r="A207" s="97">
        <f t="shared" si="3"/>
        <v>203</v>
      </c>
      <c r="B207" s="89"/>
      <c r="C207" s="89"/>
      <c r="D207" s="89"/>
      <c r="E207" s="89"/>
      <c r="F207" s="96"/>
      <c r="G207" s="96"/>
      <c r="H207" s="96"/>
      <c r="I207" s="96"/>
      <c r="J207" s="96"/>
      <c r="K207" s="96"/>
      <c r="L207" s="96"/>
      <c r="M207" s="96"/>
      <c r="N207" s="96"/>
      <c r="O207" s="96"/>
      <c r="P207" s="96"/>
      <c r="Q207" s="96"/>
      <c r="R207" s="96"/>
      <c r="S207" s="96"/>
      <c r="T207" s="96"/>
      <c r="U207" s="96"/>
      <c r="V207" s="96"/>
    </row>
    <row r="208">
      <c r="A208" s="97">
        <f t="shared" si="3"/>
        <v>204</v>
      </c>
      <c r="B208" s="89"/>
      <c r="C208" s="89"/>
      <c r="D208" s="89"/>
      <c r="E208" s="89"/>
      <c r="F208" s="96"/>
      <c r="G208" s="96"/>
      <c r="H208" s="96"/>
      <c r="I208" s="96"/>
      <c r="J208" s="96"/>
      <c r="K208" s="96"/>
      <c r="L208" s="96"/>
      <c r="M208" s="96"/>
      <c r="N208" s="96"/>
      <c r="O208" s="96"/>
      <c r="P208" s="96"/>
      <c r="Q208" s="96"/>
      <c r="R208" s="96"/>
      <c r="S208" s="96"/>
      <c r="T208" s="96"/>
      <c r="U208" s="96"/>
      <c r="V208" s="96"/>
    </row>
    <row r="209">
      <c r="A209" s="97">
        <f t="shared" si="3"/>
        <v>205</v>
      </c>
      <c r="B209" s="89"/>
      <c r="C209" s="89"/>
      <c r="D209" s="89"/>
      <c r="E209" s="89"/>
      <c r="F209" s="96"/>
      <c r="G209" s="96"/>
      <c r="H209" s="96"/>
      <c r="I209" s="96"/>
      <c r="J209" s="96"/>
      <c r="K209" s="96"/>
      <c r="L209" s="96"/>
      <c r="M209" s="96"/>
      <c r="N209" s="96"/>
      <c r="O209" s="96"/>
      <c r="P209" s="96"/>
      <c r="Q209" s="96"/>
      <c r="R209" s="96"/>
      <c r="S209" s="96"/>
      <c r="T209" s="96"/>
      <c r="U209" s="96"/>
      <c r="V209" s="96"/>
    </row>
    <row r="210">
      <c r="A210" s="97">
        <f t="shared" si="3"/>
        <v>206</v>
      </c>
      <c r="B210" s="89"/>
      <c r="C210" s="89"/>
      <c r="D210" s="89"/>
      <c r="E210" s="89"/>
      <c r="F210" s="96"/>
      <c r="G210" s="96"/>
      <c r="H210" s="96"/>
      <c r="I210" s="96"/>
      <c r="J210" s="96"/>
      <c r="K210" s="96"/>
      <c r="L210" s="96"/>
      <c r="M210" s="96"/>
      <c r="N210" s="96"/>
      <c r="O210" s="96"/>
      <c r="P210" s="96"/>
      <c r="Q210" s="96"/>
      <c r="R210" s="96"/>
      <c r="S210" s="96"/>
      <c r="T210" s="96"/>
      <c r="U210" s="96"/>
      <c r="V210" s="96"/>
    </row>
    <row r="211">
      <c r="A211" s="97">
        <f t="shared" si="3"/>
        <v>207</v>
      </c>
      <c r="B211" s="89"/>
      <c r="C211" s="89"/>
      <c r="D211" s="89"/>
      <c r="E211" s="89"/>
      <c r="F211" s="96"/>
      <c r="G211" s="96"/>
      <c r="H211" s="96"/>
      <c r="I211" s="96"/>
      <c r="J211" s="96"/>
      <c r="K211" s="96"/>
      <c r="L211" s="96"/>
      <c r="M211" s="96"/>
      <c r="N211" s="96"/>
      <c r="O211" s="96"/>
      <c r="P211" s="96"/>
      <c r="Q211" s="96"/>
      <c r="R211" s="96"/>
      <c r="S211" s="96"/>
      <c r="T211" s="96"/>
      <c r="U211" s="96"/>
      <c r="V211" s="96"/>
    </row>
    <row r="212">
      <c r="A212" s="97">
        <f t="shared" si="3"/>
        <v>208</v>
      </c>
      <c r="B212" s="89"/>
      <c r="C212" s="89"/>
      <c r="D212" s="89"/>
      <c r="E212" s="89"/>
      <c r="F212" s="96"/>
      <c r="G212" s="96"/>
      <c r="H212" s="96"/>
      <c r="I212" s="96"/>
      <c r="J212" s="96"/>
      <c r="K212" s="96"/>
      <c r="L212" s="96"/>
      <c r="M212" s="96"/>
      <c r="N212" s="96"/>
      <c r="O212" s="96"/>
      <c r="P212" s="96"/>
      <c r="Q212" s="96"/>
      <c r="R212" s="96"/>
      <c r="S212" s="96"/>
      <c r="T212" s="96"/>
      <c r="U212" s="96"/>
      <c r="V212" s="96"/>
    </row>
    <row r="213">
      <c r="A213" s="97">
        <f t="shared" si="3"/>
        <v>209</v>
      </c>
      <c r="B213" s="89"/>
      <c r="C213" s="89"/>
      <c r="D213" s="89"/>
      <c r="E213" s="89"/>
      <c r="F213" s="96"/>
      <c r="G213" s="96"/>
      <c r="H213" s="96"/>
      <c r="I213" s="96"/>
      <c r="J213" s="96"/>
      <c r="K213" s="96"/>
      <c r="L213" s="96"/>
      <c r="M213" s="96"/>
      <c r="N213" s="96"/>
      <c r="O213" s="96"/>
      <c r="P213" s="96"/>
      <c r="Q213" s="96"/>
      <c r="R213" s="96"/>
      <c r="S213" s="96"/>
      <c r="T213" s="96"/>
      <c r="U213" s="96"/>
      <c r="V213" s="96"/>
    </row>
    <row r="214">
      <c r="A214" s="97">
        <f t="shared" si="3"/>
        <v>210</v>
      </c>
      <c r="B214" s="89"/>
      <c r="C214" s="89"/>
      <c r="D214" s="89"/>
      <c r="E214" s="89"/>
      <c r="F214" s="96"/>
      <c r="G214" s="96"/>
      <c r="H214" s="96"/>
      <c r="I214" s="96"/>
      <c r="J214" s="96"/>
      <c r="K214" s="96"/>
      <c r="L214" s="96"/>
      <c r="M214" s="96"/>
      <c r="N214" s="96"/>
      <c r="O214" s="96"/>
      <c r="P214" s="96"/>
      <c r="Q214" s="96"/>
      <c r="R214" s="96"/>
      <c r="S214" s="96"/>
      <c r="T214" s="96"/>
      <c r="U214" s="96"/>
      <c r="V214" s="96"/>
    </row>
    <row r="215">
      <c r="A215" s="97">
        <f t="shared" si="3"/>
        <v>211</v>
      </c>
      <c r="B215" s="89"/>
      <c r="C215" s="89"/>
      <c r="D215" s="89"/>
      <c r="E215" s="89"/>
      <c r="F215" s="96"/>
      <c r="G215" s="96"/>
      <c r="H215" s="96"/>
      <c r="I215" s="96"/>
      <c r="J215" s="96"/>
      <c r="K215" s="96"/>
      <c r="L215" s="96"/>
      <c r="M215" s="96"/>
      <c r="N215" s="96"/>
      <c r="O215" s="96"/>
      <c r="P215" s="96"/>
      <c r="Q215" s="96"/>
      <c r="R215" s="96"/>
      <c r="S215" s="96"/>
      <c r="T215" s="96"/>
      <c r="U215" s="96"/>
      <c r="V215" s="96"/>
    </row>
    <row r="216">
      <c r="A216" s="97">
        <f t="shared" si="3"/>
        <v>212</v>
      </c>
      <c r="B216" s="89"/>
      <c r="C216" s="89"/>
      <c r="D216" s="89"/>
      <c r="E216" s="89"/>
      <c r="F216" s="96"/>
      <c r="G216" s="96"/>
      <c r="H216" s="96"/>
      <c r="I216" s="96"/>
      <c r="J216" s="96"/>
      <c r="K216" s="96"/>
      <c r="L216" s="96"/>
      <c r="M216" s="96"/>
      <c r="N216" s="96"/>
      <c r="O216" s="96"/>
      <c r="P216" s="96"/>
      <c r="Q216" s="96"/>
      <c r="R216" s="96"/>
      <c r="S216" s="96"/>
      <c r="T216" s="96"/>
      <c r="U216" s="96"/>
      <c r="V216" s="96"/>
    </row>
    <row r="217">
      <c r="A217" s="97">
        <f t="shared" si="3"/>
        <v>213</v>
      </c>
      <c r="B217" s="89"/>
      <c r="C217" s="89"/>
      <c r="D217" s="89"/>
      <c r="E217" s="89"/>
      <c r="F217" s="96"/>
      <c r="G217" s="96"/>
      <c r="H217" s="96"/>
      <c r="I217" s="96"/>
      <c r="J217" s="96"/>
      <c r="K217" s="96"/>
      <c r="L217" s="96"/>
      <c r="M217" s="96"/>
      <c r="N217" s="96"/>
      <c r="O217" s="96"/>
      <c r="P217" s="96"/>
      <c r="Q217" s="96"/>
      <c r="R217" s="96"/>
      <c r="S217" s="96"/>
      <c r="T217" s="96"/>
      <c r="U217" s="96"/>
      <c r="V217" s="96"/>
    </row>
    <row r="218">
      <c r="A218" s="97">
        <f t="shared" si="3"/>
        <v>214</v>
      </c>
      <c r="B218" s="89"/>
      <c r="C218" s="89"/>
      <c r="D218" s="89"/>
      <c r="E218" s="89"/>
      <c r="F218" s="96"/>
      <c r="G218" s="96"/>
      <c r="H218" s="96"/>
      <c r="I218" s="96"/>
      <c r="J218" s="96"/>
      <c r="K218" s="96"/>
      <c r="L218" s="96"/>
      <c r="M218" s="96"/>
      <c r="N218" s="96"/>
      <c r="O218" s="96"/>
      <c r="P218" s="96"/>
      <c r="Q218" s="96"/>
      <c r="R218" s="96"/>
      <c r="S218" s="96"/>
      <c r="T218" s="96"/>
      <c r="U218" s="96"/>
      <c r="V218" s="96"/>
    </row>
    <row r="219">
      <c r="A219" s="97">
        <f t="shared" si="3"/>
        <v>215</v>
      </c>
      <c r="B219" s="89"/>
      <c r="C219" s="89"/>
      <c r="D219" s="89"/>
      <c r="E219" s="89"/>
      <c r="F219" s="96"/>
      <c r="G219" s="96"/>
      <c r="H219" s="96"/>
      <c r="I219" s="96"/>
      <c r="J219" s="96"/>
      <c r="K219" s="96"/>
      <c r="L219" s="96"/>
      <c r="M219" s="96"/>
      <c r="N219" s="96"/>
      <c r="O219" s="96"/>
      <c r="P219" s="96"/>
      <c r="Q219" s="96"/>
      <c r="R219" s="96"/>
      <c r="S219" s="96"/>
      <c r="T219" s="96"/>
      <c r="U219" s="96"/>
      <c r="V219" s="96"/>
    </row>
    <row r="220">
      <c r="A220" s="97">
        <f t="shared" si="3"/>
        <v>216</v>
      </c>
      <c r="B220" s="89"/>
      <c r="C220" s="89"/>
      <c r="D220" s="89"/>
      <c r="E220" s="89"/>
      <c r="F220" s="96"/>
      <c r="G220" s="96"/>
      <c r="H220" s="96"/>
      <c r="I220" s="96"/>
      <c r="J220" s="96"/>
      <c r="K220" s="96"/>
      <c r="L220" s="96"/>
      <c r="M220" s="96"/>
      <c r="N220" s="96"/>
      <c r="O220" s="96"/>
      <c r="P220" s="96"/>
      <c r="Q220" s="96"/>
      <c r="R220" s="96"/>
      <c r="S220" s="96"/>
      <c r="T220" s="96"/>
      <c r="U220" s="96"/>
      <c r="V220" s="96"/>
    </row>
    <row r="221">
      <c r="A221" s="97">
        <f t="shared" si="3"/>
        <v>217</v>
      </c>
      <c r="B221" s="89"/>
      <c r="C221" s="89"/>
      <c r="D221" s="89"/>
      <c r="E221" s="89"/>
      <c r="F221" s="96"/>
      <c r="G221" s="96"/>
      <c r="H221" s="96"/>
      <c r="I221" s="96"/>
      <c r="J221" s="96"/>
      <c r="K221" s="96"/>
      <c r="L221" s="96"/>
      <c r="M221" s="96"/>
      <c r="N221" s="96"/>
      <c r="O221" s="96"/>
      <c r="P221" s="96"/>
      <c r="Q221" s="96"/>
      <c r="R221" s="96"/>
      <c r="S221" s="96"/>
      <c r="T221" s="96"/>
      <c r="U221" s="96"/>
      <c r="V221" s="96"/>
    </row>
    <row r="222">
      <c r="A222" s="97">
        <f t="shared" si="3"/>
        <v>218</v>
      </c>
      <c r="B222" s="89"/>
      <c r="C222" s="89"/>
      <c r="D222" s="89"/>
      <c r="E222" s="89"/>
      <c r="F222" s="96"/>
      <c r="G222" s="96"/>
      <c r="H222" s="96"/>
      <c r="I222" s="96"/>
      <c r="J222" s="96"/>
      <c r="K222" s="96"/>
      <c r="L222" s="96"/>
      <c r="M222" s="96"/>
      <c r="N222" s="96"/>
      <c r="O222" s="96"/>
      <c r="P222" s="96"/>
      <c r="Q222" s="96"/>
      <c r="R222" s="96"/>
      <c r="S222" s="96"/>
      <c r="T222" s="96"/>
      <c r="U222" s="96"/>
      <c r="V222" s="96"/>
    </row>
    <row r="223">
      <c r="A223" s="97">
        <f t="shared" si="3"/>
        <v>219</v>
      </c>
      <c r="B223" s="89"/>
      <c r="C223" s="89"/>
      <c r="D223" s="89"/>
      <c r="E223" s="89"/>
      <c r="F223" s="96"/>
      <c r="G223" s="96"/>
      <c r="H223" s="96"/>
      <c r="I223" s="96"/>
      <c r="J223" s="96"/>
      <c r="K223" s="96"/>
      <c r="L223" s="96"/>
      <c r="M223" s="96"/>
      <c r="N223" s="96"/>
      <c r="O223" s="96"/>
      <c r="P223" s="96"/>
      <c r="Q223" s="96"/>
      <c r="R223" s="96"/>
      <c r="S223" s="96"/>
      <c r="T223" s="96"/>
      <c r="U223" s="96"/>
      <c r="V223" s="96"/>
    </row>
    <row r="224">
      <c r="A224" s="97">
        <f t="shared" si="3"/>
        <v>220</v>
      </c>
      <c r="B224" s="89"/>
      <c r="C224" s="89"/>
      <c r="D224" s="89"/>
      <c r="E224" s="89"/>
      <c r="F224" s="96"/>
      <c r="G224" s="96"/>
      <c r="H224" s="96"/>
      <c r="I224" s="96"/>
      <c r="J224" s="96"/>
      <c r="K224" s="96"/>
      <c r="L224" s="96"/>
      <c r="M224" s="96"/>
      <c r="N224" s="96"/>
      <c r="O224" s="96"/>
      <c r="P224" s="96"/>
      <c r="Q224" s="96"/>
      <c r="R224" s="96"/>
      <c r="S224" s="96"/>
      <c r="T224" s="96"/>
      <c r="U224" s="96"/>
      <c r="V224" s="96"/>
    </row>
    <row r="225">
      <c r="A225" s="97">
        <f t="shared" si="3"/>
        <v>221</v>
      </c>
      <c r="B225" s="89"/>
      <c r="C225" s="89"/>
      <c r="D225" s="89"/>
      <c r="E225" s="89"/>
      <c r="F225" s="96"/>
      <c r="G225" s="96"/>
      <c r="H225" s="96"/>
      <c r="I225" s="96"/>
      <c r="J225" s="96"/>
      <c r="K225" s="96"/>
      <c r="L225" s="96"/>
      <c r="M225" s="96"/>
      <c r="N225" s="96"/>
      <c r="O225" s="96"/>
      <c r="P225" s="96"/>
      <c r="Q225" s="96"/>
      <c r="R225" s="96"/>
      <c r="S225" s="96"/>
      <c r="T225" s="96"/>
      <c r="U225" s="96"/>
      <c r="V225" s="96"/>
    </row>
    <row r="226">
      <c r="A226" s="97">
        <f t="shared" si="3"/>
        <v>222</v>
      </c>
      <c r="B226" s="89"/>
      <c r="C226" s="89"/>
      <c r="D226" s="89"/>
      <c r="E226" s="89"/>
      <c r="F226" s="96"/>
      <c r="G226" s="96"/>
      <c r="H226" s="96"/>
      <c r="I226" s="96"/>
      <c r="J226" s="96"/>
      <c r="K226" s="96"/>
      <c r="L226" s="96"/>
      <c r="M226" s="96"/>
      <c r="N226" s="96"/>
      <c r="O226" s="96"/>
      <c r="P226" s="96"/>
      <c r="Q226" s="96"/>
      <c r="R226" s="96"/>
      <c r="S226" s="96"/>
      <c r="T226" s="96"/>
      <c r="U226" s="96"/>
      <c r="V226" s="96"/>
    </row>
    <row r="227">
      <c r="A227" s="97">
        <f t="shared" si="3"/>
        <v>223</v>
      </c>
      <c r="B227" s="89"/>
      <c r="C227" s="89"/>
      <c r="D227" s="89"/>
      <c r="E227" s="89"/>
      <c r="F227" s="96"/>
      <c r="G227" s="96"/>
      <c r="H227" s="96"/>
      <c r="I227" s="96"/>
      <c r="J227" s="96"/>
      <c r="K227" s="96"/>
      <c r="L227" s="96"/>
      <c r="M227" s="96"/>
      <c r="N227" s="96"/>
      <c r="O227" s="96"/>
      <c r="P227" s="96"/>
      <c r="Q227" s="96"/>
      <c r="R227" s="96"/>
      <c r="S227" s="96"/>
      <c r="T227" s="96"/>
      <c r="U227" s="96"/>
      <c r="V227" s="96"/>
    </row>
    <row r="228">
      <c r="A228" s="97">
        <f t="shared" si="3"/>
        <v>224</v>
      </c>
      <c r="B228" s="89"/>
      <c r="C228" s="89"/>
      <c r="D228" s="89"/>
      <c r="E228" s="89"/>
      <c r="F228" s="96"/>
      <c r="G228" s="96"/>
      <c r="H228" s="96"/>
      <c r="I228" s="96"/>
      <c r="J228" s="96"/>
      <c r="K228" s="96"/>
      <c r="L228" s="96"/>
      <c r="M228" s="96"/>
      <c r="N228" s="96"/>
      <c r="O228" s="96"/>
      <c r="P228" s="96"/>
      <c r="Q228" s="96"/>
      <c r="R228" s="96"/>
      <c r="S228" s="96"/>
      <c r="T228" s="96"/>
      <c r="U228" s="96"/>
      <c r="V228" s="96"/>
    </row>
    <row r="229">
      <c r="A229" s="97">
        <f t="shared" si="3"/>
        <v>225</v>
      </c>
      <c r="B229" s="89"/>
      <c r="C229" s="89"/>
      <c r="D229" s="89"/>
      <c r="E229" s="89"/>
      <c r="F229" s="96"/>
      <c r="G229" s="96"/>
      <c r="H229" s="96"/>
      <c r="I229" s="96"/>
      <c r="J229" s="96"/>
      <c r="K229" s="96"/>
      <c r="L229" s="96"/>
      <c r="M229" s="96"/>
      <c r="N229" s="96"/>
      <c r="O229" s="96"/>
      <c r="P229" s="96"/>
      <c r="Q229" s="96"/>
      <c r="R229" s="96"/>
      <c r="S229" s="96"/>
      <c r="T229" s="96"/>
      <c r="U229" s="96"/>
      <c r="V229" s="96"/>
    </row>
    <row r="230">
      <c r="A230" s="97">
        <f t="shared" si="3"/>
        <v>226</v>
      </c>
      <c r="B230" s="89"/>
      <c r="C230" s="89"/>
      <c r="D230" s="89"/>
      <c r="E230" s="89"/>
      <c r="F230" s="96"/>
      <c r="G230" s="96"/>
      <c r="H230" s="96"/>
      <c r="I230" s="96"/>
      <c r="J230" s="96"/>
      <c r="K230" s="96"/>
      <c r="L230" s="96"/>
      <c r="M230" s="96"/>
      <c r="N230" s="96"/>
      <c r="O230" s="96"/>
      <c r="P230" s="96"/>
      <c r="Q230" s="96"/>
      <c r="R230" s="96"/>
      <c r="S230" s="96"/>
      <c r="T230" s="96"/>
      <c r="U230" s="96"/>
      <c r="V230" s="96"/>
    </row>
    <row r="231">
      <c r="A231" s="97">
        <f t="shared" si="3"/>
        <v>227</v>
      </c>
      <c r="B231" s="89"/>
      <c r="C231" s="89"/>
      <c r="D231" s="89"/>
      <c r="E231" s="89"/>
      <c r="F231" s="96"/>
      <c r="G231" s="96"/>
      <c r="H231" s="96"/>
      <c r="I231" s="96"/>
      <c r="J231" s="96"/>
      <c r="K231" s="96"/>
      <c r="L231" s="96"/>
      <c r="M231" s="96"/>
      <c r="N231" s="96"/>
      <c r="O231" s="96"/>
      <c r="P231" s="96"/>
      <c r="Q231" s="96"/>
      <c r="R231" s="96"/>
      <c r="S231" s="96"/>
      <c r="T231" s="96"/>
      <c r="U231" s="96"/>
      <c r="V231" s="96"/>
    </row>
    <row r="232">
      <c r="A232" s="97">
        <f t="shared" si="3"/>
        <v>228</v>
      </c>
      <c r="B232" s="89"/>
      <c r="C232" s="89"/>
      <c r="D232" s="89"/>
      <c r="E232" s="89"/>
      <c r="F232" s="96"/>
      <c r="G232" s="96"/>
      <c r="H232" s="96"/>
      <c r="I232" s="96"/>
      <c r="J232" s="96"/>
      <c r="K232" s="96"/>
      <c r="L232" s="96"/>
      <c r="M232" s="96"/>
      <c r="N232" s="96"/>
      <c r="O232" s="96"/>
      <c r="P232" s="96"/>
      <c r="Q232" s="96"/>
      <c r="R232" s="96"/>
      <c r="S232" s="96"/>
      <c r="T232" s="96"/>
      <c r="U232" s="96"/>
      <c r="V232" s="96"/>
    </row>
    <row r="233">
      <c r="A233" s="97">
        <f t="shared" si="3"/>
        <v>229</v>
      </c>
      <c r="B233" s="89"/>
      <c r="C233" s="89"/>
      <c r="D233" s="89"/>
      <c r="E233" s="89"/>
      <c r="F233" s="96"/>
      <c r="G233" s="96"/>
      <c r="H233" s="96"/>
      <c r="I233" s="96"/>
      <c r="J233" s="96"/>
      <c r="K233" s="96"/>
      <c r="L233" s="96"/>
      <c r="M233" s="96"/>
      <c r="N233" s="96"/>
      <c r="O233" s="96"/>
      <c r="P233" s="96"/>
      <c r="Q233" s="96"/>
      <c r="R233" s="96"/>
      <c r="S233" s="96"/>
      <c r="T233" s="96"/>
      <c r="U233" s="96"/>
      <c r="V233" s="96"/>
    </row>
    <row r="234">
      <c r="A234" s="97">
        <f t="shared" si="3"/>
        <v>230</v>
      </c>
      <c r="B234" s="89"/>
      <c r="C234" s="89"/>
      <c r="D234" s="89"/>
      <c r="E234" s="89"/>
      <c r="F234" s="96"/>
      <c r="G234" s="96"/>
      <c r="H234" s="96"/>
      <c r="I234" s="96"/>
      <c r="J234" s="96"/>
      <c r="K234" s="96"/>
      <c r="L234" s="96"/>
      <c r="M234" s="96"/>
      <c r="N234" s="96"/>
      <c r="O234" s="96"/>
      <c r="P234" s="96"/>
      <c r="Q234" s="96"/>
      <c r="R234" s="96"/>
      <c r="S234" s="96"/>
      <c r="T234" s="96"/>
      <c r="U234" s="96"/>
      <c r="V234" s="96"/>
    </row>
    <row r="235">
      <c r="A235" s="97">
        <f t="shared" si="3"/>
        <v>231</v>
      </c>
      <c r="B235" s="89"/>
      <c r="C235" s="89"/>
      <c r="D235" s="89"/>
      <c r="E235" s="89"/>
      <c r="F235" s="96"/>
      <c r="G235" s="96"/>
      <c r="H235" s="96"/>
      <c r="I235" s="96"/>
      <c r="J235" s="96"/>
      <c r="K235" s="96"/>
      <c r="L235" s="96"/>
      <c r="M235" s="96"/>
      <c r="N235" s="96"/>
      <c r="O235" s="96"/>
      <c r="P235" s="96"/>
      <c r="Q235" s="96"/>
      <c r="R235" s="96"/>
      <c r="S235" s="96"/>
      <c r="T235" s="96"/>
      <c r="U235" s="96"/>
      <c r="V235" s="96"/>
    </row>
    <row r="236">
      <c r="A236" s="97">
        <f t="shared" si="3"/>
        <v>232</v>
      </c>
      <c r="B236" s="89"/>
      <c r="C236" s="89"/>
      <c r="D236" s="89"/>
      <c r="E236" s="89"/>
      <c r="F236" s="96"/>
      <c r="G236" s="96"/>
      <c r="H236" s="96"/>
      <c r="I236" s="96"/>
      <c r="J236" s="96"/>
      <c r="K236" s="96"/>
      <c r="L236" s="96"/>
      <c r="M236" s="96"/>
      <c r="N236" s="96"/>
      <c r="O236" s="96"/>
      <c r="P236" s="96"/>
      <c r="Q236" s="96"/>
      <c r="R236" s="96"/>
      <c r="S236" s="96"/>
      <c r="T236" s="96"/>
      <c r="U236" s="96"/>
      <c r="V236" s="96"/>
    </row>
    <row r="237">
      <c r="A237" s="97">
        <f t="shared" si="3"/>
        <v>233</v>
      </c>
      <c r="B237" s="89"/>
      <c r="C237" s="89"/>
      <c r="D237" s="89"/>
      <c r="E237" s="89"/>
      <c r="F237" s="96"/>
      <c r="G237" s="96"/>
      <c r="H237" s="96"/>
      <c r="I237" s="96"/>
      <c r="J237" s="96"/>
      <c r="K237" s="96"/>
      <c r="L237" s="96"/>
      <c r="M237" s="96"/>
      <c r="N237" s="96"/>
      <c r="O237" s="96"/>
      <c r="P237" s="96"/>
      <c r="Q237" s="96"/>
      <c r="R237" s="96"/>
      <c r="S237" s="96"/>
      <c r="T237" s="96"/>
      <c r="U237" s="96"/>
      <c r="V237" s="96"/>
    </row>
    <row r="238">
      <c r="A238" s="97">
        <f t="shared" si="3"/>
        <v>234</v>
      </c>
      <c r="B238" s="89"/>
      <c r="C238" s="89"/>
      <c r="D238" s="89"/>
      <c r="E238" s="89"/>
      <c r="F238" s="96"/>
      <c r="G238" s="96"/>
      <c r="H238" s="96"/>
      <c r="I238" s="96"/>
      <c r="J238" s="96"/>
      <c r="K238" s="96"/>
      <c r="L238" s="96"/>
      <c r="M238" s="96"/>
      <c r="N238" s="96"/>
      <c r="O238" s="96"/>
      <c r="P238" s="96"/>
      <c r="Q238" s="96"/>
      <c r="R238" s="96"/>
      <c r="S238" s="96"/>
      <c r="T238" s="96"/>
      <c r="U238" s="96"/>
      <c r="V238" s="96"/>
    </row>
    <row r="239">
      <c r="A239" s="97">
        <f t="shared" si="3"/>
        <v>235</v>
      </c>
      <c r="B239" s="89"/>
      <c r="C239" s="89"/>
      <c r="D239" s="89"/>
      <c r="E239" s="89"/>
      <c r="F239" s="96"/>
      <c r="G239" s="96"/>
      <c r="H239" s="96"/>
      <c r="I239" s="96"/>
      <c r="J239" s="96"/>
      <c r="K239" s="96"/>
      <c r="L239" s="96"/>
      <c r="M239" s="96"/>
      <c r="N239" s="96"/>
      <c r="O239" s="96"/>
      <c r="P239" s="96"/>
      <c r="Q239" s="96"/>
      <c r="R239" s="96"/>
      <c r="S239" s="96"/>
      <c r="T239" s="96"/>
      <c r="U239" s="96"/>
      <c r="V239" s="96"/>
    </row>
    <row r="240">
      <c r="A240" s="97">
        <f t="shared" si="3"/>
        <v>236</v>
      </c>
      <c r="B240" s="89"/>
      <c r="C240" s="89"/>
      <c r="D240" s="89"/>
      <c r="E240" s="89"/>
      <c r="F240" s="96"/>
      <c r="G240" s="96"/>
      <c r="H240" s="96"/>
      <c r="I240" s="96"/>
      <c r="J240" s="96"/>
      <c r="K240" s="96"/>
      <c r="L240" s="96"/>
      <c r="M240" s="96"/>
      <c r="N240" s="96"/>
      <c r="O240" s="96"/>
      <c r="P240" s="96"/>
      <c r="Q240" s="96"/>
      <c r="R240" s="96"/>
      <c r="S240" s="96"/>
      <c r="T240" s="96"/>
      <c r="U240" s="96"/>
      <c r="V240" s="96"/>
    </row>
    <row r="241">
      <c r="A241" s="97">
        <f t="shared" si="3"/>
        <v>237</v>
      </c>
      <c r="B241" s="89"/>
      <c r="C241" s="89"/>
      <c r="D241" s="89"/>
      <c r="E241" s="89"/>
      <c r="F241" s="96"/>
      <c r="G241" s="96"/>
      <c r="H241" s="96"/>
      <c r="I241" s="96"/>
      <c r="J241" s="96"/>
      <c r="K241" s="96"/>
      <c r="L241" s="96"/>
      <c r="M241" s="96"/>
      <c r="N241" s="96"/>
      <c r="O241" s="96"/>
      <c r="P241" s="96"/>
      <c r="Q241" s="96"/>
      <c r="R241" s="96"/>
      <c r="S241" s="96"/>
      <c r="T241" s="96"/>
      <c r="U241" s="96"/>
      <c r="V241" s="96"/>
    </row>
    <row r="242">
      <c r="A242" s="97">
        <f t="shared" si="3"/>
        <v>238</v>
      </c>
      <c r="B242" s="89"/>
      <c r="C242" s="89"/>
      <c r="D242" s="89"/>
      <c r="E242" s="89"/>
      <c r="F242" s="96"/>
      <c r="G242" s="96"/>
      <c r="H242" s="96"/>
      <c r="I242" s="96"/>
      <c r="J242" s="96"/>
      <c r="K242" s="96"/>
      <c r="L242" s="96"/>
      <c r="M242" s="96"/>
      <c r="N242" s="96"/>
      <c r="O242" s="96"/>
      <c r="P242" s="96"/>
      <c r="Q242" s="96"/>
      <c r="R242" s="96"/>
      <c r="S242" s="96"/>
      <c r="T242" s="96"/>
      <c r="U242" s="96"/>
      <c r="V242" s="96"/>
    </row>
    <row r="243">
      <c r="A243" s="97">
        <f t="shared" si="3"/>
        <v>239</v>
      </c>
      <c r="B243" s="89"/>
      <c r="C243" s="89"/>
      <c r="D243" s="89"/>
      <c r="E243" s="89"/>
      <c r="F243" s="96"/>
      <c r="G243" s="96"/>
      <c r="H243" s="96"/>
      <c r="I243" s="96"/>
      <c r="J243" s="96"/>
      <c r="K243" s="96"/>
      <c r="L243" s="96"/>
      <c r="M243" s="96"/>
      <c r="N243" s="96"/>
      <c r="O243" s="96"/>
      <c r="P243" s="96"/>
      <c r="Q243" s="96"/>
      <c r="R243" s="96"/>
      <c r="S243" s="96"/>
      <c r="T243" s="96"/>
      <c r="U243" s="96"/>
      <c r="V243" s="96"/>
    </row>
    <row r="244">
      <c r="A244" s="97">
        <f t="shared" si="3"/>
        <v>240</v>
      </c>
      <c r="B244" s="89"/>
      <c r="C244" s="89"/>
      <c r="D244" s="89"/>
      <c r="E244" s="89"/>
      <c r="F244" s="96"/>
      <c r="G244" s="96"/>
      <c r="H244" s="96"/>
      <c r="I244" s="96"/>
      <c r="J244" s="96"/>
      <c r="K244" s="96"/>
      <c r="L244" s="96"/>
      <c r="M244" s="96"/>
      <c r="N244" s="96"/>
      <c r="O244" s="96"/>
      <c r="P244" s="96"/>
      <c r="Q244" s="96"/>
      <c r="R244" s="96"/>
      <c r="S244" s="96"/>
      <c r="T244" s="96"/>
      <c r="U244" s="96"/>
      <c r="V244" s="96"/>
    </row>
    <row r="245">
      <c r="A245" s="97">
        <f t="shared" si="3"/>
        <v>241</v>
      </c>
      <c r="B245" s="89"/>
      <c r="C245" s="89"/>
      <c r="D245" s="89"/>
      <c r="E245" s="89"/>
      <c r="F245" s="96"/>
      <c r="G245" s="96"/>
      <c r="H245" s="96"/>
      <c r="I245" s="96"/>
      <c r="J245" s="96"/>
      <c r="K245" s="96"/>
      <c r="L245" s="96"/>
      <c r="M245" s="96"/>
      <c r="N245" s="96"/>
      <c r="O245" s="96"/>
      <c r="P245" s="96"/>
      <c r="Q245" s="96"/>
      <c r="R245" s="96"/>
      <c r="S245" s="96"/>
      <c r="T245" s="96"/>
      <c r="U245" s="96"/>
      <c r="V245" s="96"/>
    </row>
    <row r="246">
      <c r="A246" s="97">
        <f t="shared" si="3"/>
        <v>242</v>
      </c>
      <c r="B246" s="89"/>
      <c r="C246" s="89"/>
      <c r="D246" s="89"/>
      <c r="E246" s="89"/>
      <c r="F246" s="96"/>
      <c r="G246" s="96"/>
      <c r="H246" s="96"/>
      <c r="I246" s="96"/>
      <c r="J246" s="96"/>
      <c r="K246" s="96"/>
      <c r="L246" s="96"/>
      <c r="M246" s="96"/>
      <c r="N246" s="96"/>
      <c r="O246" s="96"/>
      <c r="P246" s="96"/>
      <c r="Q246" s="96"/>
      <c r="R246" s="96"/>
      <c r="S246" s="96"/>
      <c r="T246" s="96"/>
      <c r="U246" s="96"/>
      <c r="V246" s="96"/>
    </row>
    <row r="247">
      <c r="A247" s="97">
        <f t="shared" si="3"/>
        <v>243</v>
      </c>
      <c r="B247" s="89"/>
      <c r="C247" s="89"/>
      <c r="D247" s="89"/>
      <c r="E247" s="89"/>
      <c r="F247" s="96"/>
      <c r="G247" s="96"/>
      <c r="H247" s="96"/>
      <c r="I247" s="96"/>
      <c r="J247" s="96"/>
      <c r="K247" s="96"/>
      <c r="L247" s="96"/>
      <c r="M247" s="96"/>
      <c r="N247" s="96"/>
      <c r="O247" s="96"/>
      <c r="P247" s="96"/>
      <c r="Q247" s="96"/>
      <c r="R247" s="96"/>
      <c r="S247" s="96"/>
      <c r="T247" s="96"/>
      <c r="U247" s="96"/>
      <c r="V247" s="96"/>
    </row>
    <row r="248">
      <c r="A248" s="97">
        <f t="shared" si="3"/>
        <v>244</v>
      </c>
      <c r="B248" s="89"/>
      <c r="C248" s="89"/>
      <c r="D248" s="89"/>
      <c r="E248" s="89"/>
      <c r="F248" s="96"/>
      <c r="G248" s="96"/>
      <c r="H248" s="96"/>
      <c r="I248" s="96"/>
      <c r="J248" s="96"/>
      <c r="K248" s="96"/>
      <c r="L248" s="96"/>
      <c r="M248" s="96"/>
      <c r="N248" s="96"/>
      <c r="O248" s="96"/>
      <c r="P248" s="96"/>
      <c r="Q248" s="96"/>
      <c r="R248" s="96"/>
      <c r="S248" s="96"/>
      <c r="T248" s="96"/>
      <c r="U248" s="96"/>
      <c r="V248" s="96"/>
    </row>
    <row r="249">
      <c r="A249" s="97">
        <f t="shared" si="3"/>
        <v>245</v>
      </c>
      <c r="B249" s="89"/>
      <c r="C249" s="89"/>
      <c r="D249" s="89"/>
      <c r="E249" s="89"/>
      <c r="F249" s="96"/>
      <c r="G249" s="96"/>
      <c r="H249" s="96"/>
      <c r="I249" s="96"/>
      <c r="J249" s="96"/>
      <c r="K249" s="96"/>
      <c r="L249" s="96"/>
      <c r="M249" s="96"/>
      <c r="N249" s="96"/>
      <c r="O249" s="96"/>
      <c r="P249" s="96"/>
      <c r="Q249" s="96"/>
      <c r="R249" s="96"/>
      <c r="S249" s="96"/>
      <c r="T249" s="96"/>
      <c r="U249" s="96"/>
      <c r="V249" s="96"/>
    </row>
    <row r="250">
      <c r="A250" s="97">
        <f t="shared" si="3"/>
        <v>246</v>
      </c>
      <c r="B250" s="89"/>
      <c r="C250" s="89"/>
      <c r="D250" s="89"/>
      <c r="E250" s="89"/>
      <c r="F250" s="96"/>
      <c r="G250" s="96"/>
      <c r="H250" s="96"/>
      <c r="I250" s="96"/>
      <c r="J250" s="96"/>
      <c r="K250" s="96"/>
      <c r="L250" s="96"/>
      <c r="M250" s="96"/>
      <c r="N250" s="96"/>
      <c r="O250" s="96"/>
      <c r="P250" s="96"/>
      <c r="Q250" s="96"/>
      <c r="R250" s="96"/>
      <c r="S250" s="96"/>
      <c r="T250" s="96"/>
      <c r="U250" s="96"/>
      <c r="V250" s="96"/>
    </row>
    <row r="251">
      <c r="A251" s="97">
        <f t="shared" si="3"/>
        <v>247</v>
      </c>
      <c r="B251" s="89"/>
      <c r="C251" s="89"/>
      <c r="D251" s="89"/>
      <c r="E251" s="89"/>
      <c r="F251" s="96"/>
      <c r="G251" s="96"/>
      <c r="H251" s="96"/>
      <c r="I251" s="96"/>
      <c r="J251" s="96"/>
      <c r="K251" s="96"/>
      <c r="L251" s="96"/>
      <c r="M251" s="96"/>
      <c r="N251" s="96"/>
      <c r="O251" s="96"/>
      <c r="P251" s="96"/>
      <c r="Q251" s="96"/>
      <c r="R251" s="96"/>
      <c r="S251" s="96"/>
      <c r="T251" s="96"/>
      <c r="U251" s="96"/>
      <c r="V251" s="96"/>
    </row>
    <row r="252">
      <c r="A252" s="97">
        <f t="shared" si="3"/>
        <v>248</v>
      </c>
      <c r="B252" s="89"/>
      <c r="C252" s="89"/>
      <c r="D252" s="89"/>
      <c r="E252" s="89"/>
      <c r="F252" s="96"/>
      <c r="G252" s="96"/>
      <c r="H252" s="96"/>
      <c r="I252" s="96"/>
      <c r="J252" s="96"/>
      <c r="K252" s="96"/>
      <c r="L252" s="96"/>
      <c r="M252" s="96"/>
      <c r="N252" s="96"/>
      <c r="O252" s="96"/>
      <c r="P252" s="96"/>
      <c r="Q252" s="96"/>
      <c r="R252" s="96"/>
      <c r="S252" s="96"/>
      <c r="T252" s="96"/>
      <c r="U252" s="96"/>
      <c r="V252" s="96"/>
    </row>
    <row r="253">
      <c r="A253" s="97">
        <f t="shared" si="3"/>
        <v>249</v>
      </c>
      <c r="B253" s="89"/>
      <c r="C253" s="89"/>
      <c r="D253" s="89"/>
      <c r="E253" s="89"/>
      <c r="F253" s="96"/>
      <c r="G253" s="96"/>
      <c r="H253" s="96"/>
      <c r="I253" s="96"/>
      <c r="J253" s="96"/>
      <c r="K253" s="96"/>
      <c r="L253" s="96"/>
      <c r="M253" s="96"/>
      <c r="N253" s="96"/>
      <c r="O253" s="96"/>
      <c r="P253" s="96"/>
      <c r="Q253" s="96"/>
      <c r="R253" s="96"/>
      <c r="S253" s="96"/>
      <c r="T253" s="96"/>
      <c r="U253" s="96"/>
      <c r="V253" s="96"/>
    </row>
    <row r="254">
      <c r="A254" s="97">
        <f t="shared" si="3"/>
        <v>250</v>
      </c>
      <c r="B254" s="89"/>
      <c r="C254" s="89"/>
      <c r="D254" s="89"/>
      <c r="E254" s="89"/>
      <c r="F254" s="96"/>
      <c r="G254" s="96"/>
      <c r="H254" s="96"/>
      <c r="I254" s="96"/>
      <c r="J254" s="96"/>
      <c r="K254" s="96"/>
      <c r="L254" s="96"/>
      <c r="M254" s="96"/>
      <c r="N254" s="96"/>
      <c r="O254" s="96"/>
      <c r="P254" s="96"/>
      <c r="Q254" s="96"/>
      <c r="R254" s="96"/>
      <c r="S254" s="96"/>
      <c r="T254" s="96"/>
      <c r="U254" s="96"/>
      <c r="V254" s="96"/>
    </row>
    <row r="255">
      <c r="A255" s="97">
        <f t="shared" si="3"/>
        <v>251</v>
      </c>
      <c r="B255" s="89"/>
      <c r="C255" s="89"/>
      <c r="D255" s="89"/>
      <c r="E255" s="89"/>
      <c r="F255" s="96"/>
      <c r="G255" s="96"/>
      <c r="H255" s="96"/>
      <c r="I255" s="96"/>
      <c r="J255" s="96"/>
      <c r="K255" s="96"/>
      <c r="L255" s="96"/>
      <c r="M255" s="96"/>
      <c r="N255" s="96"/>
      <c r="O255" s="96"/>
      <c r="P255" s="96"/>
      <c r="Q255" s="96"/>
      <c r="R255" s="96"/>
      <c r="S255" s="96"/>
      <c r="T255" s="96"/>
      <c r="U255" s="96"/>
      <c r="V255" s="96"/>
    </row>
    <row r="256">
      <c r="A256" s="97">
        <f t="shared" si="3"/>
        <v>252</v>
      </c>
      <c r="B256" s="89"/>
      <c r="C256" s="89"/>
      <c r="D256" s="89"/>
      <c r="E256" s="89"/>
      <c r="F256" s="96"/>
      <c r="G256" s="96"/>
      <c r="H256" s="96"/>
      <c r="I256" s="96"/>
      <c r="J256" s="96"/>
      <c r="K256" s="96"/>
      <c r="L256" s="96"/>
      <c r="M256" s="96"/>
      <c r="N256" s="96"/>
      <c r="O256" s="96"/>
      <c r="P256" s="96"/>
      <c r="Q256" s="96"/>
      <c r="R256" s="96"/>
      <c r="S256" s="96"/>
      <c r="T256" s="96"/>
      <c r="U256" s="96"/>
      <c r="V256" s="96"/>
    </row>
    <row r="257">
      <c r="A257" s="97">
        <f t="shared" si="3"/>
        <v>253</v>
      </c>
      <c r="B257" s="89"/>
      <c r="C257" s="89"/>
      <c r="D257" s="89"/>
      <c r="E257" s="89"/>
      <c r="F257" s="96"/>
      <c r="G257" s="96"/>
      <c r="H257" s="96"/>
      <c r="I257" s="96"/>
      <c r="J257" s="96"/>
      <c r="K257" s="96"/>
      <c r="L257" s="96"/>
      <c r="M257" s="96"/>
      <c r="N257" s="96"/>
      <c r="O257" s="96"/>
      <c r="P257" s="96"/>
      <c r="Q257" s="96"/>
      <c r="R257" s="96"/>
      <c r="S257" s="96"/>
      <c r="T257" s="96"/>
      <c r="U257" s="96"/>
      <c r="V257" s="96"/>
    </row>
    <row r="258">
      <c r="A258" s="97">
        <f t="shared" si="3"/>
        <v>254</v>
      </c>
      <c r="B258" s="89"/>
      <c r="C258" s="89"/>
      <c r="D258" s="89"/>
      <c r="E258" s="89"/>
      <c r="F258" s="96"/>
      <c r="G258" s="96"/>
      <c r="H258" s="96"/>
      <c r="I258" s="96"/>
      <c r="J258" s="96"/>
      <c r="K258" s="96"/>
      <c r="L258" s="96"/>
      <c r="M258" s="96"/>
      <c r="N258" s="96"/>
      <c r="O258" s="96"/>
      <c r="P258" s="96"/>
      <c r="Q258" s="96"/>
      <c r="R258" s="96"/>
      <c r="S258" s="96"/>
      <c r="T258" s="96"/>
      <c r="U258" s="96"/>
      <c r="V258" s="96"/>
    </row>
    <row r="259">
      <c r="A259" s="97">
        <f t="shared" si="3"/>
        <v>255</v>
      </c>
      <c r="B259" s="89"/>
      <c r="C259" s="89"/>
      <c r="D259" s="89"/>
      <c r="E259" s="89"/>
      <c r="F259" s="96"/>
      <c r="G259" s="96"/>
      <c r="H259" s="96"/>
      <c r="I259" s="96"/>
      <c r="J259" s="96"/>
      <c r="K259" s="96"/>
      <c r="L259" s="96"/>
      <c r="M259" s="96"/>
      <c r="N259" s="96"/>
      <c r="O259" s="96"/>
      <c r="P259" s="96"/>
      <c r="Q259" s="96"/>
      <c r="R259" s="96"/>
      <c r="S259" s="96"/>
      <c r="T259" s="96"/>
      <c r="U259" s="96"/>
      <c r="V259" s="96"/>
    </row>
    <row r="260">
      <c r="A260" s="97">
        <f t="shared" si="3"/>
        <v>256</v>
      </c>
      <c r="B260" s="89"/>
      <c r="C260" s="89"/>
      <c r="D260" s="89"/>
      <c r="E260" s="89"/>
      <c r="F260" s="96"/>
      <c r="G260" s="96"/>
      <c r="H260" s="96"/>
      <c r="I260" s="96"/>
      <c r="J260" s="96"/>
      <c r="K260" s="96"/>
      <c r="L260" s="96"/>
      <c r="M260" s="96"/>
      <c r="N260" s="96"/>
      <c r="O260" s="96"/>
      <c r="P260" s="96"/>
      <c r="Q260" s="96"/>
      <c r="R260" s="96"/>
      <c r="S260" s="96"/>
      <c r="T260" s="96"/>
      <c r="U260" s="96"/>
      <c r="V260" s="96"/>
    </row>
    <row r="261">
      <c r="A261" s="97">
        <f t="shared" si="3"/>
        <v>257</v>
      </c>
      <c r="B261" s="89"/>
      <c r="C261" s="89"/>
      <c r="D261" s="89"/>
      <c r="E261" s="89"/>
      <c r="F261" s="96"/>
      <c r="G261" s="96"/>
      <c r="H261" s="96"/>
      <c r="I261" s="96"/>
      <c r="J261" s="96"/>
      <c r="K261" s="96"/>
      <c r="L261" s="96"/>
      <c r="M261" s="96"/>
      <c r="N261" s="96"/>
      <c r="O261" s="96"/>
      <c r="P261" s="96"/>
      <c r="Q261" s="96"/>
      <c r="R261" s="96"/>
      <c r="S261" s="96"/>
      <c r="T261" s="96"/>
      <c r="U261" s="96"/>
      <c r="V261" s="96"/>
    </row>
    <row r="262">
      <c r="A262" s="97">
        <f t="shared" si="3"/>
        <v>258</v>
      </c>
      <c r="B262" s="89"/>
      <c r="C262" s="89"/>
      <c r="D262" s="89"/>
      <c r="E262" s="89"/>
      <c r="F262" s="96"/>
      <c r="G262" s="96"/>
      <c r="H262" s="96"/>
      <c r="I262" s="96"/>
      <c r="J262" s="96"/>
      <c r="K262" s="96"/>
      <c r="L262" s="96"/>
      <c r="M262" s="96"/>
      <c r="N262" s="96"/>
      <c r="O262" s="96"/>
      <c r="P262" s="96"/>
      <c r="Q262" s="96"/>
      <c r="R262" s="96"/>
      <c r="S262" s="96"/>
      <c r="T262" s="96"/>
      <c r="U262" s="96"/>
      <c r="V262" s="96"/>
    </row>
    <row r="263">
      <c r="A263" s="97">
        <f t="shared" si="3"/>
        <v>259</v>
      </c>
      <c r="B263" s="89"/>
      <c r="C263" s="89"/>
      <c r="D263" s="89"/>
      <c r="E263" s="89"/>
      <c r="F263" s="96"/>
      <c r="G263" s="96"/>
      <c r="H263" s="96"/>
      <c r="I263" s="96"/>
      <c r="J263" s="96"/>
      <c r="K263" s="96"/>
      <c r="L263" s="96"/>
      <c r="M263" s="96"/>
      <c r="N263" s="96"/>
      <c r="O263" s="96"/>
      <c r="P263" s="96"/>
      <c r="Q263" s="96"/>
      <c r="R263" s="96"/>
      <c r="S263" s="96"/>
      <c r="T263" s="96"/>
      <c r="U263" s="96"/>
      <c r="V263" s="96"/>
    </row>
    <row r="264">
      <c r="A264" s="97">
        <f t="shared" si="3"/>
        <v>260</v>
      </c>
      <c r="B264" s="89"/>
      <c r="C264" s="89"/>
      <c r="D264" s="89"/>
      <c r="E264" s="89"/>
      <c r="F264" s="96"/>
      <c r="G264" s="96"/>
      <c r="H264" s="96"/>
      <c r="I264" s="96"/>
      <c r="J264" s="96"/>
      <c r="K264" s="96"/>
      <c r="L264" s="96"/>
      <c r="M264" s="96"/>
      <c r="N264" s="96"/>
      <c r="O264" s="96"/>
      <c r="P264" s="96"/>
      <c r="Q264" s="96"/>
      <c r="R264" s="96"/>
      <c r="S264" s="96"/>
      <c r="T264" s="96"/>
      <c r="U264" s="96"/>
      <c r="V264" s="96"/>
    </row>
    <row r="265">
      <c r="A265" s="97">
        <f t="shared" si="3"/>
        <v>261</v>
      </c>
      <c r="B265" s="89"/>
      <c r="C265" s="89"/>
      <c r="D265" s="89"/>
      <c r="E265" s="89"/>
      <c r="F265" s="96"/>
      <c r="G265" s="96"/>
      <c r="H265" s="96"/>
      <c r="I265" s="96"/>
      <c r="J265" s="96"/>
      <c r="K265" s="96"/>
      <c r="L265" s="96"/>
      <c r="M265" s="96"/>
      <c r="N265" s="96"/>
      <c r="O265" s="96"/>
      <c r="P265" s="96"/>
      <c r="Q265" s="96"/>
      <c r="R265" s="96"/>
      <c r="S265" s="96"/>
      <c r="T265" s="96"/>
      <c r="U265" s="96"/>
      <c r="V265" s="96"/>
    </row>
    <row r="266">
      <c r="A266" s="97">
        <f t="shared" si="3"/>
        <v>262</v>
      </c>
      <c r="B266" s="89"/>
      <c r="C266" s="89"/>
      <c r="D266" s="89"/>
      <c r="E266" s="89"/>
      <c r="F266" s="96"/>
      <c r="G266" s="96"/>
      <c r="H266" s="96"/>
      <c r="I266" s="96"/>
      <c r="J266" s="96"/>
      <c r="K266" s="96"/>
      <c r="L266" s="96"/>
      <c r="M266" s="96"/>
      <c r="N266" s="96"/>
      <c r="O266" s="96"/>
      <c r="P266" s="96"/>
      <c r="Q266" s="96"/>
      <c r="R266" s="96"/>
      <c r="S266" s="96"/>
      <c r="T266" s="96"/>
      <c r="U266" s="96"/>
      <c r="V266" s="96"/>
    </row>
    <row r="267">
      <c r="A267" s="97">
        <f t="shared" si="3"/>
        <v>263</v>
      </c>
      <c r="B267" s="89"/>
      <c r="C267" s="89"/>
      <c r="D267" s="89"/>
      <c r="E267" s="89"/>
      <c r="F267" s="96"/>
      <c r="G267" s="96"/>
      <c r="H267" s="96"/>
      <c r="I267" s="96"/>
      <c r="J267" s="96"/>
      <c r="K267" s="96"/>
      <c r="L267" s="96"/>
      <c r="M267" s="96"/>
      <c r="N267" s="96"/>
      <c r="O267" s="96"/>
      <c r="P267" s="96"/>
      <c r="Q267" s="96"/>
      <c r="R267" s="96"/>
      <c r="S267" s="96"/>
      <c r="T267" s="96"/>
      <c r="U267" s="96"/>
      <c r="V267" s="96"/>
    </row>
    <row r="268">
      <c r="A268" s="97">
        <f t="shared" si="3"/>
        <v>264</v>
      </c>
      <c r="B268" s="89"/>
      <c r="C268" s="89"/>
      <c r="D268" s="89"/>
      <c r="E268" s="89"/>
      <c r="F268" s="96"/>
      <c r="G268" s="96"/>
      <c r="H268" s="96"/>
      <c r="I268" s="96"/>
      <c r="J268" s="96"/>
      <c r="K268" s="96"/>
      <c r="L268" s="96"/>
      <c r="M268" s="96"/>
      <c r="N268" s="96"/>
      <c r="O268" s="96"/>
      <c r="P268" s="96"/>
      <c r="Q268" s="96"/>
      <c r="R268" s="96"/>
      <c r="S268" s="96"/>
      <c r="T268" s="96"/>
      <c r="U268" s="96"/>
      <c r="V268" s="96"/>
    </row>
    <row r="269">
      <c r="A269" s="97">
        <f t="shared" si="3"/>
        <v>265</v>
      </c>
      <c r="B269" s="89"/>
      <c r="C269" s="89"/>
      <c r="D269" s="89"/>
      <c r="E269" s="89"/>
      <c r="F269" s="96"/>
      <c r="G269" s="96"/>
      <c r="H269" s="96"/>
      <c r="I269" s="96"/>
      <c r="J269" s="96"/>
      <c r="K269" s="96"/>
      <c r="L269" s="96"/>
      <c r="M269" s="96"/>
      <c r="N269" s="96"/>
      <c r="O269" s="96"/>
      <c r="P269" s="96"/>
      <c r="Q269" s="96"/>
      <c r="R269" s="96"/>
      <c r="S269" s="96"/>
      <c r="T269" s="96"/>
      <c r="U269" s="96"/>
      <c r="V269" s="96"/>
    </row>
    <row r="270">
      <c r="A270" s="97">
        <f t="shared" si="3"/>
        <v>266</v>
      </c>
      <c r="B270" s="89"/>
      <c r="C270" s="89"/>
      <c r="D270" s="89"/>
      <c r="E270" s="89"/>
      <c r="F270" s="96"/>
      <c r="G270" s="96"/>
      <c r="H270" s="96"/>
      <c r="I270" s="96"/>
      <c r="J270" s="96"/>
      <c r="K270" s="96"/>
      <c r="L270" s="96"/>
      <c r="M270" s="96"/>
      <c r="N270" s="96"/>
      <c r="O270" s="96"/>
      <c r="P270" s="96"/>
      <c r="Q270" s="96"/>
      <c r="R270" s="96"/>
      <c r="S270" s="96"/>
      <c r="T270" s="96"/>
      <c r="U270" s="96"/>
      <c r="V270" s="96"/>
    </row>
    <row r="271">
      <c r="A271" s="97">
        <f t="shared" si="3"/>
        <v>267</v>
      </c>
      <c r="B271" s="89"/>
      <c r="C271" s="89"/>
      <c r="D271" s="89"/>
      <c r="E271" s="89"/>
      <c r="F271" s="96"/>
      <c r="G271" s="96"/>
      <c r="H271" s="96"/>
      <c r="I271" s="96"/>
      <c r="J271" s="96"/>
      <c r="K271" s="96"/>
      <c r="L271" s="96"/>
      <c r="M271" s="96"/>
      <c r="N271" s="96"/>
      <c r="O271" s="96"/>
      <c r="P271" s="96"/>
      <c r="Q271" s="96"/>
      <c r="R271" s="96"/>
      <c r="S271" s="96"/>
      <c r="T271" s="96"/>
      <c r="U271" s="96"/>
      <c r="V271" s="96"/>
    </row>
    <row r="272">
      <c r="A272" s="97">
        <f t="shared" si="3"/>
        <v>268</v>
      </c>
      <c r="B272" s="89"/>
      <c r="C272" s="89"/>
      <c r="D272" s="89"/>
      <c r="E272" s="89"/>
      <c r="F272" s="96"/>
      <c r="G272" s="96"/>
      <c r="H272" s="96"/>
      <c r="I272" s="96"/>
      <c r="J272" s="96"/>
      <c r="K272" s="96"/>
      <c r="L272" s="96"/>
      <c r="M272" s="96"/>
      <c r="N272" s="96"/>
      <c r="O272" s="96"/>
      <c r="P272" s="96"/>
      <c r="Q272" s="96"/>
      <c r="R272" s="96"/>
      <c r="S272" s="96"/>
      <c r="T272" s="96"/>
      <c r="U272" s="96"/>
      <c r="V272" s="96"/>
    </row>
    <row r="273">
      <c r="A273" s="97">
        <f t="shared" si="3"/>
        <v>269</v>
      </c>
      <c r="B273" s="89"/>
      <c r="C273" s="89"/>
      <c r="D273" s="89"/>
      <c r="E273" s="89"/>
      <c r="F273" s="96"/>
      <c r="G273" s="96"/>
      <c r="H273" s="96"/>
      <c r="I273" s="96"/>
      <c r="J273" s="96"/>
      <c r="K273" s="96"/>
      <c r="L273" s="96"/>
      <c r="M273" s="96"/>
      <c r="N273" s="96"/>
      <c r="O273" s="96"/>
      <c r="P273" s="96"/>
      <c r="Q273" s="96"/>
      <c r="R273" s="96"/>
      <c r="S273" s="96"/>
      <c r="T273" s="96"/>
      <c r="U273" s="96"/>
      <c r="V273" s="96"/>
    </row>
    <row r="274">
      <c r="A274" s="97">
        <f t="shared" si="3"/>
        <v>270</v>
      </c>
      <c r="B274" s="89"/>
      <c r="C274" s="89"/>
      <c r="D274" s="89"/>
      <c r="E274" s="89"/>
      <c r="F274" s="96"/>
      <c r="G274" s="96"/>
      <c r="H274" s="96"/>
      <c r="I274" s="96"/>
      <c r="J274" s="96"/>
      <c r="K274" s="96"/>
      <c r="L274" s="96"/>
      <c r="M274" s="96"/>
      <c r="N274" s="96"/>
      <c r="O274" s="96"/>
      <c r="P274" s="96"/>
      <c r="Q274" s="96"/>
      <c r="R274" s="96"/>
      <c r="S274" s="96"/>
      <c r="T274" s="96"/>
      <c r="U274" s="96"/>
      <c r="V274" s="96"/>
    </row>
    <row r="275">
      <c r="A275" s="97">
        <f t="shared" si="3"/>
        <v>271</v>
      </c>
      <c r="B275" s="89"/>
      <c r="C275" s="89"/>
      <c r="D275" s="89"/>
      <c r="E275" s="89"/>
      <c r="F275" s="96"/>
      <c r="G275" s="96"/>
      <c r="H275" s="96"/>
      <c r="I275" s="96"/>
      <c r="J275" s="96"/>
      <c r="K275" s="96"/>
      <c r="L275" s="96"/>
      <c r="M275" s="96"/>
      <c r="N275" s="96"/>
      <c r="O275" s="96"/>
      <c r="P275" s="96"/>
      <c r="Q275" s="96"/>
      <c r="R275" s="96"/>
      <c r="S275" s="96"/>
      <c r="T275" s="96"/>
      <c r="U275" s="96"/>
      <c r="V275" s="96"/>
    </row>
    <row r="276">
      <c r="A276" s="97">
        <f t="shared" si="3"/>
        <v>272</v>
      </c>
      <c r="B276" s="89"/>
      <c r="C276" s="89"/>
      <c r="D276" s="89"/>
      <c r="E276" s="89"/>
      <c r="F276" s="96"/>
      <c r="G276" s="96"/>
      <c r="H276" s="96"/>
      <c r="I276" s="96"/>
      <c r="J276" s="96"/>
      <c r="K276" s="96"/>
      <c r="L276" s="96"/>
      <c r="M276" s="96"/>
      <c r="N276" s="96"/>
      <c r="O276" s="96"/>
      <c r="P276" s="96"/>
      <c r="Q276" s="96"/>
      <c r="R276" s="96"/>
      <c r="S276" s="96"/>
      <c r="T276" s="96"/>
      <c r="U276" s="96"/>
      <c r="V276" s="96"/>
    </row>
    <row r="277">
      <c r="A277" s="97">
        <f t="shared" si="3"/>
        <v>273</v>
      </c>
      <c r="B277" s="89"/>
      <c r="C277" s="89"/>
      <c r="D277" s="89"/>
      <c r="E277" s="89"/>
      <c r="F277" s="96"/>
      <c r="G277" s="96"/>
      <c r="H277" s="96"/>
      <c r="I277" s="96"/>
      <c r="J277" s="96"/>
      <c r="K277" s="96"/>
      <c r="L277" s="96"/>
      <c r="M277" s="96"/>
      <c r="N277" s="96"/>
      <c r="O277" s="96"/>
      <c r="P277" s="96"/>
      <c r="Q277" s="96"/>
      <c r="R277" s="96"/>
      <c r="S277" s="96"/>
      <c r="T277" s="96"/>
      <c r="U277" s="96"/>
      <c r="V277" s="96"/>
    </row>
    <row r="278">
      <c r="A278" s="97">
        <f t="shared" si="3"/>
        <v>274</v>
      </c>
      <c r="B278" s="89"/>
      <c r="C278" s="89"/>
      <c r="D278" s="89"/>
      <c r="E278" s="89"/>
      <c r="F278" s="96"/>
      <c r="G278" s="96"/>
      <c r="H278" s="96"/>
      <c r="I278" s="96"/>
      <c r="J278" s="96"/>
      <c r="K278" s="96"/>
      <c r="L278" s="96"/>
      <c r="M278" s="96"/>
      <c r="N278" s="96"/>
      <c r="O278" s="96"/>
      <c r="P278" s="96"/>
      <c r="Q278" s="96"/>
      <c r="R278" s="96"/>
      <c r="S278" s="96"/>
      <c r="T278" s="96"/>
      <c r="U278" s="96"/>
      <c r="V278" s="96"/>
    </row>
    <row r="279">
      <c r="A279" s="97">
        <f t="shared" si="3"/>
        <v>275</v>
      </c>
      <c r="B279" s="89"/>
      <c r="C279" s="89"/>
      <c r="D279" s="89"/>
      <c r="E279" s="89"/>
      <c r="F279" s="96"/>
      <c r="G279" s="96"/>
      <c r="H279" s="96"/>
      <c r="I279" s="96"/>
      <c r="J279" s="96"/>
      <c r="K279" s="96"/>
      <c r="L279" s="96"/>
      <c r="M279" s="96"/>
      <c r="N279" s="96"/>
      <c r="O279" s="96"/>
      <c r="P279" s="96"/>
      <c r="Q279" s="96"/>
      <c r="R279" s="96"/>
      <c r="S279" s="96"/>
      <c r="T279" s="96"/>
      <c r="U279" s="96"/>
      <c r="V279" s="96"/>
    </row>
    <row r="280">
      <c r="A280" s="97">
        <f t="shared" si="3"/>
        <v>276</v>
      </c>
      <c r="B280" s="89"/>
      <c r="C280" s="89"/>
      <c r="D280" s="89"/>
      <c r="E280" s="89"/>
      <c r="F280" s="96"/>
      <c r="G280" s="96"/>
      <c r="H280" s="96"/>
      <c r="I280" s="96"/>
      <c r="J280" s="96"/>
      <c r="K280" s="96"/>
      <c r="L280" s="96"/>
      <c r="M280" s="96"/>
      <c r="N280" s="96"/>
      <c r="O280" s="96"/>
      <c r="P280" s="96"/>
      <c r="Q280" s="96"/>
      <c r="R280" s="96"/>
      <c r="S280" s="96"/>
      <c r="T280" s="96"/>
      <c r="U280" s="96"/>
      <c r="V280" s="96"/>
    </row>
    <row r="281">
      <c r="A281" s="97">
        <f t="shared" si="3"/>
        <v>277</v>
      </c>
      <c r="B281" s="89"/>
      <c r="C281" s="89"/>
      <c r="D281" s="89"/>
      <c r="E281" s="89"/>
      <c r="F281" s="96"/>
      <c r="G281" s="96"/>
      <c r="H281" s="96"/>
      <c r="I281" s="96"/>
      <c r="J281" s="96"/>
      <c r="K281" s="96"/>
      <c r="L281" s="96"/>
      <c r="M281" s="96"/>
      <c r="N281" s="96"/>
      <c r="O281" s="96"/>
      <c r="P281" s="96"/>
      <c r="Q281" s="96"/>
      <c r="R281" s="96"/>
      <c r="S281" s="96"/>
      <c r="T281" s="96"/>
      <c r="U281" s="96"/>
      <c r="V281" s="96"/>
    </row>
    <row r="282">
      <c r="A282" s="97">
        <f t="shared" si="3"/>
        <v>278</v>
      </c>
      <c r="B282" s="89"/>
      <c r="C282" s="89"/>
      <c r="D282" s="89"/>
      <c r="E282" s="89"/>
      <c r="F282" s="96"/>
      <c r="G282" s="96"/>
      <c r="H282" s="96"/>
      <c r="I282" s="96"/>
      <c r="J282" s="96"/>
      <c r="K282" s="96"/>
      <c r="L282" s="96"/>
      <c r="M282" s="96"/>
      <c r="N282" s="96"/>
      <c r="O282" s="96"/>
      <c r="P282" s="96"/>
      <c r="Q282" s="96"/>
      <c r="R282" s="96"/>
      <c r="S282" s="96"/>
      <c r="T282" s="96"/>
      <c r="U282" s="96"/>
      <c r="V282" s="96"/>
    </row>
    <row r="283">
      <c r="A283" s="97">
        <f t="shared" si="3"/>
        <v>279</v>
      </c>
      <c r="B283" s="89"/>
      <c r="C283" s="89"/>
      <c r="D283" s="89"/>
      <c r="E283" s="89"/>
      <c r="F283" s="96"/>
      <c r="G283" s="96"/>
      <c r="H283" s="96"/>
      <c r="I283" s="96"/>
      <c r="J283" s="96"/>
      <c r="K283" s="96"/>
      <c r="L283" s="96"/>
      <c r="M283" s="96"/>
      <c r="N283" s="96"/>
      <c r="O283" s="96"/>
      <c r="P283" s="96"/>
      <c r="Q283" s="96"/>
      <c r="R283" s="96"/>
      <c r="S283" s="96"/>
      <c r="T283" s="96"/>
      <c r="U283" s="96"/>
      <c r="V283" s="96"/>
    </row>
    <row r="284">
      <c r="A284" s="97">
        <f t="shared" si="3"/>
        <v>280</v>
      </c>
      <c r="B284" s="89"/>
      <c r="C284" s="89"/>
      <c r="D284" s="89"/>
      <c r="E284" s="89"/>
      <c r="F284" s="96"/>
      <c r="G284" s="96"/>
      <c r="H284" s="96"/>
      <c r="I284" s="96"/>
      <c r="J284" s="96"/>
      <c r="K284" s="96"/>
      <c r="L284" s="96"/>
      <c r="M284" s="96"/>
      <c r="N284" s="96"/>
      <c r="O284" s="96"/>
      <c r="P284" s="96"/>
      <c r="Q284" s="96"/>
      <c r="R284" s="96"/>
      <c r="S284" s="96"/>
      <c r="T284" s="96"/>
      <c r="U284" s="96"/>
      <c r="V284" s="96"/>
    </row>
    <row r="285">
      <c r="A285" s="97">
        <f t="shared" si="3"/>
        <v>281</v>
      </c>
      <c r="B285" s="89"/>
      <c r="C285" s="89"/>
      <c r="D285" s="89"/>
      <c r="E285" s="89"/>
      <c r="F285" s="96"/>
      <c r="G285" s="96"/>
      <c r="H285" s="96"/>
      <c r="I285" s="96"/>
      <c r="J285" s="96"/>
      <c r="K285" s="96"/>
      <c r="L285" s="96"/>
      <c r="M285" s="96"/>
      <c r="N285" s="96"/>
      <c r="O285" s="96"/>
      <c r="P285" s="96"/>
      <c r="Q285" s="96"/>
      <c r="R285" s="96"/>
      <c r="S285" s="96"/>
      <c r="T285" s="96"/>
      <c r="U285" s="96"/>
      <c r="V285" s="96"/>
    </row>
    <row r="286">
      <c r="A286" s="97">
        <f t="shared" si="3"/>
        <v>282</v>
      </c>
      <c r="B286" s="89"/>
      <c r="C286" s="89"/>
      <c r="D286" s="89"/>
      <c r="E286" s="89"/>
      <c r="F286" s="96"/>
      <c r="G286" s="96"/>
      <c r="H286" s="96"/>
      <c r="I286" s="96"/>
      <c r="J286" s="96"/>
      <c r="K286" s="96"/>
      <c r="L286" s="96"/>
      <c r="M286" s="96"/>
      <c r="N286" s="96"/>
      <c r="O286" s="96"/>
      <c r="P286" s="96"/>
      <c r="Q286" s="96"/>
      <c r="R286" s="96"/>
      <c r="S286" s="96"/>
      <c r="T286" s="96"/>
      <c r="U286" s="96"/>
      <c r="V286" s="96"/>
    </row>
    <row r="287">
      <c r="A287" s="97">
        <f t="shared" si="3"/>
        <v>283</v>
      </c>
      <c r="B287" s="89"/>
      <c r="C287" s="89"/>
      <c r="D287" s="89"/>
      <c r="E287" s="89"/>
      <c r="F287" s="96"/>
      <c r="G287" s="96"/>
      <c r="H287" s="96"/>
      <c r="I287" s="96"/>
      <c r="J287" s="96"/>
      <c r="K287" s="96"/>
      <c r="L287" s="96"/>
      <c r="M287" s="96"/>
      <c r="N287" s="96"/>
      <c r="O287" s="96"/>
      <c r="P287" s="96"/>
      <c r="Q287" s="96"/>
      <c r="R287" s="96"/>
      <c r="S287" s="96"/>
      <c r="T287" s="96"/>
      <c r="U287" s="96"/>
      <c r="V287" s="96"/>
    </row>
    <row r="288">
      <c r="A288" s="97">
        <f t="shared" si="3"/>
        <v>284</v>
      </c>
      <c r="B288" s="89"/>
      <c r="C288" s="89"/>
      <c r="D288" s="89"/>
      <c r="E288" s="89"/>
      <c r="F288" s="96"/>
      <c r="G288" s="96"/>
      <c r="H288" s="96"/>
      <c r="I288" s="96"/>
      <c r="J288" s="96"/>
      <c r="K288" s="96"/>
      <c r="L288" s="96"/>
      <c r="M288" s="96"/>
      <c r="N288" s="96"/>
      <c r="O288" s="96"/>
      <c r="P288" s="96"/>
      <c r="Q288" s="96"/>
      <c r="R288" s="96"/>
      <c r="S288" s="96"/>
      <c r="T288" s="96"/>
      <c r="U288" s="96"/>
      <c r="V288" s="96"/>
    </row>
    <row r="289">
      <c r="A289" s="97">
        <f t="shared" si="3"/>
        <v>285</v>
      </c>
      <c r="B289" s="89"/>
      <c r="C289" s="89"/>
      <c r="D289" s="89"/>
      <c r="E289" s="89"/>
      <c r="F289" s="96"/>
      <c r="G289" s="96"/>
      <c r="H289" s="96"/>
      <c r="I289" s="96"/>
      <c r="J289" s="96"/>
      <c r="K289" s="96"/>
      <c r="L289" s="96"/>
      <c r="M289" s="96"/>
      <c r="N289" s="96"/>
      <c r="O289" s="96"/>
      <c r="P289" s="96"/>
      <c r="Q289" s="96"/>
      <c r="R289" s="96"/>
      <c r="S289" s="96"/>
      <c r="T289" s="96"/>
      <c r="U289" s="96"/>
      <c r="V289" s="96"/>
    </row>
    <row r="290">
      <c r="A290" s="97">
        <f t="shared" si="3"/>
        <v>286</v>
      </c>
      <c r="B290" s="89"/>
      <c r="C290" s="89"/>
      <c r="D290" s="89"/>
      <c r="E290" s="89"/>
      <c r="F290" s="96"/>
      <c r="G290" s="96"/>
      <c r="H290" s="96"/>
      <c r="I290" s="96"/>
      <c r="J290" s="96"/>
      <c r="K290" s="96"/>
      <c r="L290" s="96"/>
      <c r="M290" s="96"/>
      <c r="N290" s="96"/>
      <c r="O290" s="96"/>
      <c r="P290" s="96"/>
      <c r="Q290" s="96"/>
      <c r="R290" s="96"/>
      <c r="S290" s="96"/>
      <c r="T290" s="96"/>
      <c r="U290" s="96"/>
      <c r="V290" s="96"/>
    </row>
    <row r="291">
      <c r="A291" s="97">
        <f t="shared" si="3"/>
        <v>287</v>
      </c>
      <c r="B291" s="89"/>
      <c r="C291" s="89"/>
      <c r="D291" s="89"/>
      <c r="E291" s="89"/>
      <c r="F291" s="96"/>
      <c r="G291" s="96"/>
      <c r="H291" s="96"/>
      <c r="I291" s="96"/>
      <c r="J291" s="96"/>
      <c r="K291" s="96"/>
      <c r="L291" s="96"/>
      <c r="M291" s="96"/>
      <c r="N291" s="96"/>
      <c r="O291" s="96"/>
      <c r="P291" s="96"/>
      <c r="Q291" s="96"/>
      <c r="R291" s="96"/>
      <c r="S291" s="96"/>
      <c r="T291" s="96"/>
      <c r="U291" s="96"/>
      <c r="V291" s="96"/>
    </row>
    <row r="292">
      <c r="A292" s="97">
        <f t="shared" si="3"/>
        <v>288</v>
      </c>
      <c r="B292" s="89"/>
      <c r="C292" s="89"/>
      <c r="D292" s="89"/>
      <c r="E292" s="89"/>
      <c r="F292" s="96"/>
      <c r="G292" s="96"/>
      <c r="H292" s="96"/>
      <c r="I292" s="96"/>
      <c r="J292" s="96"/>
      <c r="K292" s="96"/>
      <c r="L292" s="96"/>
      <c r="M292" s="96"/>
      <c r="N292" s="96"/>
      <c r="O292" s="96"/>
      <c r="P292" s="96"/>
      <c r="Q292" s="96"/>
      <c r="R292" s="96"/>
      <c r="S292" s="96"/>
      <c r="T292" s="96"/>
      <c r="U292" s="96"/>
      <c r="V292" s="96"/>
    </row>
    <row r="293">
      <c r="A293" s="97">
        <f t="shared" si="3"/>
        <v>289</v>
      </c>
      <c r="B293" s="89"/>
      <c r="C293" s="89"/>
      <c r="D293" s="89"/>
      <c r="E293" s="89"/>
      <c r="F293" s="96"/>
      <c r="G293" s="96"/>
      <c r="H293" s="96"/>
      <c r="I293" s="96"/>
      <c r="J293" s="96"/>
      <c r="K293" s="96"/>
      <c r="L293" s="96"/>
      <c r="M293" s="96"/>
      <c r="N293" s="96"/>
      <c r="O293" s="96"/>
      <c r="P293" s="96"/>
      <c r="Q293" s="96"/>
      <c r="R293" s="96"/>
      <c r="S293" s="96"/>
      <c r="T293" s="96"/>
      <c r="U293" s="96"/>
      <c r="V293" s="96"/>
    </row>
    <row r="294">
      <c r="A294" s="97">
        <f t="shared" si="3"/>
        <v>290</v>
      </c>
      <c r="B294" s="89"/>
      <c r="C294" s="89"/>
      <c r="D294" s="89"/>
      <c r="E294" s="89"/>
      <c r="F294" s="96"/>
      <c r="G294" s="96"/>
      <c r="H294" s="96"/>
      <c r="I294" s="96"/>
      <c r="J294" s="96"/>
      <c r="K294" s="96"/>
      <c r="L294" s="96"/>
      <c r="M294" s="96"/>
      <c r="N294" s="96"/>
      <c r="O294" s="96"/>
      <c r="P294" s="96"/>
      <c r="Q294" s="96"/>
      <c r="R294" s="96"/>
      <c r="S294" s="96"/>
      <c r="T294" s="96"/>
      <c r="U294" s="96"/>
      <c r="V294" s="96"/>
    </row>
    <row r="295">
      <c r="A295" s="97">
        <f t="shared" si="3"/>
        <v>291</v>
      </c>
      <c r="B295" s="89"/>
      <c r="C295" s="89"/>
      <c r="D295" s="89"/>
      <c r="E295" s="89"/>
      <c r="F295" s="96"/>
      <c r="G295" s="96"/>
      <c r="H295" s="96"/>
      <c r="I295" s="96"/>
      <c r="J295" s="96"/>
      <c r="K295" s="96"/>
      <c r="L295" s="96"/>
      <c r="M295" s="96"/>
      <c r="N295" s="96"/>
      <c r="O295" s="96"/>
      <c r="P295" s="96"/>
      <c r="Q295" s="96"/>
      <c r="R295" s="96"/>
      <c r="S295" s="96"/>
      <c r="T295" s="96"/>
      <c r="U295" s="96"/>
      <c r="V295" s="96"/>
    </row>
    <row r="296">
      <c r="A296" s="97">
        <f t="shared" si="3"/>
        <v>292</v>
      </c>
      <c r="B296" s="89"/>
      <c r="C296" s="89"/>
      <c r="D296" s="89"/>
      <c r="E296" s="89"/>
      <c r="F296" s="96"/>
      <c r="G296" s="96"/>
      <c r="H296" s="96"/>
      <c r="I296" s="96"/>
      <c r="J296" s="96"/>
      <c r="K296" s="96"/>
      <c r="L296" s="96"/>
      <c r="M296" s="96"/>
      <c r="N296" s="96"/>
      <c r="O296" s="96"/>
      <c r="P296" s="96"/>
      <c r="Q296" s="96"/>
      <c r="R296" s="96"/>
      <c r="S296" s="96"/>
      <c r="T296" s="96"/>
      <c r="U296" s="96"/>
      <c r="V296" s="96"/>
    </row>
    <row r="297">
      <c r="A297" s="97">
        <f t="shared" si="3"/>
        <v>293</v>
      </c>
      <c r="B297" s="89"/>
      <c r="C297" s="89"/>
      <c r="D297" s="89"/>
      <c r="E297" s="89"/>
      <c r="F297" s="96"/>
      <c r="G297" s="96"/>
      <c r="H297" s="96"/>
      <c r="I297" s="96"/>
      <c r="J297" s="96"/>
      <c r="K297" s="96"/>
      <c r="L297" s="96"/>
      <c r="M297" s="96"/>
      <c r="N297" s="96"/>
      <c r="O297" s="96"/>
      <c r="P297" s="96"/>
      <c r="Q297" s="96"/>
      <c r="R297" s="96"/>
      <c r="S297" s="96"/>
      <c r="T297" s="96"/>
      <c r="U297" s="96"/>
      <c r="V297" s="96"/>
    </row>
    <row r="298">
      <c r="A298" s="97">
        <f t="shared" si="3"/>
        <v>294</v>
      </c>
      <c r="B298" s="89"/>
      <c r="C298" s="89"/>
      <c r="D298" s="89"/>
      <c r="E298" s="89"/>
      <c r="F298" s="96"/>
      <c r="G298" s="96"/>
      <c r="H298" s="96"/>
      <c r="I298" s="96"/>
      <c r="J298" s="96"/>
      <c r="K298" s="96"/>
      <c r="L298" s="96"/>
      <c r="M298" s="96"/>
      <c r="N298" s="96"/>
      <c r="O298" s="96"/>
      <c r="P298" s="96"/>
      <c r="Q298" s="96"/>
      <c r="R298" s="96"/>
      <c r="S298" s="96"/>
      <c r="T298" s="96"/>
      <c r="U298" s="96"/>
      <c r="V298" s="96"/>
    </row>
    <row r="299">
      <c r="A299" s="97">
        <f t="shared" si="3"/>
        <v>295</v>
      </c>
      <c r="B299" s="89"/>
      <c r="C299" s="89"/>
      <c r="D299" s="89"/>
      <c r="E299" s="89"/>
      <c r="F299" s="96"/>
      <c r="G299" s="96"/>
      <c r="H299" s="96"/>
      <c r="I299" s="96"/>
      <c r="J299" s="96"/>
      <c r="K299" s="96"/>
      <c r="L299" s="96"/>
      <c r="M299" s="96"/>
      <c r="N299" s="96"/>
      <c r="O299" s="96"/>
      <c r="P299" s="96"/>
      <c r="Q299" s="96"/>
      <c r="R299" s="96"/>
      <c r="S299" s="96"/>
      <c r="T299" s="96"/>
      <c r="U299" s="96"/>
      <c r="V299" s="96"/>
    </row>
    <row r="300">
      <c r="A300" s="97">
        <f t="shared" si="3"/>
        <v>296</v>
      </c>
      <c r="B300" s="89"/>
      <c r="C300" s="89"/>
      <c r="D300" s="89"/>
      <c r="E300" s="89"/>
      <c r="F300" s="96"/>
      <c r="G300" s="96"/>
      <c r="H300" s="96"/>
      <c r="I300" s="96"/>
      <c r="J300" s="96"/>
      <c r="K300" s="96"/>
      <c r="L300" s="96"/>
      <c r="M300" s="96"/>
      <c r="N300" s="96"/>
      <c r="O300" s="96"/>
      <c r="P300" s="96"/>
      <c r="Q300" s="96"/>
      <c r="R300" s="96"/>
      <c r="S300" s="96"/>
      <c r="T300" s="96"/>
      <c r="U300" s="96"/>
      <c r="V300" s="96"/>
    </row>
    <row r="301">
      <c r="A301" s="97">
        <f t="shared" si="3"/>
        <v>297</v>
      </c>
      <c r="B301" s="89"/>
      <c r="C301" s="89"/>
      <c r="D301" s="89"/>
      <c r="E301" s="89"/>
      <c r="F301" s="96"/>
      <c r="G301" s="96"/>
      <c r="H301" s="96"/>
      <c r="I301" s="96"/>
      <c r="J301" s="96"/>
      <c r="K301" s="96"/>
      <c r="L301" s="96"/>
      <c r="M301" s="96"/>
      <c r="N301" s="96"/>
      <c r="O301" s="96"/>
      <c r="P301" s="96"/>
      <c r="Q301" s="96"/>
      <c r="R301" s="96"/>
      <c r="S301" s="96"/>
      <c r="T301" s="96"/>
      <c r="U301" s="96"/>
      <c r="V301" s="96"/>
    </row>
    <row r="302">
      <c r="A302" s="97">
        <f t="shared" si="3"/>
        <v>298</v>
      </c>
      <c r="B302" s="89"/>
      <c r="C302" s="89"/>
      <c r="D302" s="89"/>
      <c r="E302" s="89"/>
      <c r="F302" s="96"/>
      <c r="G302" s="96"/>
      <c r="H302" s="96"/>
      <c r="I302" s="96"/>
      <c r="J302" s="96"/>
      <c r="K302" s="96"/>
      <c r="L302" s="96"/>
      <c r="M302" s="96"/>
      <c r="N302" s="96"/>
      <c r="O302" s="96"/>
      <c r="P302" s="96"/>
      <c r="Q302" s="96"/>
      <c r="R302" s="96"/>
      <c r="S302" s="96"/>
      <c r="T302" s="96"/>
      <c r="U302" s="96"/>
      <c r="V302" s="96"/>
    </row>
    <row r="303">
      <c r="A303" s="97">
        <f t="shared" si="3"/>
        <v>299</v>
      </c>
      <c r="B303" s="89"/>
      <c r="C303" s="89"/>
      <c r="D303" s="89"/>
      <c r="E303" s="89"/>
      <c r="F303" s="96"/>
      <c r="G303" s="96"/>
      <c r="H303" s="96"/>
      <c r="I303" s="96"/>
      <c r="J303" s="96"/>
      <c r="K303" s="96"/>
      <c r="L303" s="96"/>
      <c r="M303" s="96"/>
      <c r="N303" s="96"/>
      <c r="O303" s="96"/>
      <c r="P303" s="96"/>
      <c r="Q303" s="96"/>
      <c r="R303" s="96"/>
      <c r="S303" s="96"/>
      <c r="T303" s="96"/>
      <c r="U303" s="96"/>
      <c r="V303" s="96"/>
    </row>
    <row r="304">
      <c r="A304" s="97">
        <f t="shared" si="3"/>
        <v>300</v>
      </c>
      <c r="B304" s="89"/>
      <c r="C304" s="89"/>
      <c r="D304" s="89"/>
      <c r="E304" s="89"/>
      <c r="F304" s="96"/>
      <c r="G304" s="96"/>
      <c r="H304" s="96"/>
      <c r="I304" s="96"/>
      <c r="J304" s="96"/>
      <c r="K304" s="96"/>
      <c r="L304" s="96"/>
      <c r="M304" s="96"/>
      <c r="N304" s="96"/>
      <c r="O304" s="96"/>
      <c r="P304" s="96"/>
      <c r="Q304" s="96"/>
      <c r="R304" s="96"/>
      <c r="S304" s="96"/>
      <c r="T304" s="96"/>
      <c r="U304" s="96"/>
      <c r="V304" s="96"/>
    </row>
    <row r="305">
      <c r="B305" s="89"/>
      <c r="C305" s="89"/>
      <c r="D305" s="89"/>
      <c r="E305" s="89"/>
      <c r="F305" s="96"/>
      <c r="G305" s="96"/>
      <c r="H305" s="96"/>
      <c r="I305" s="96"/>
      <c r="J305" s="96"/>
      <c r="K305" s="96"/>
      <c r="L305" s="96"/>
      <c r="M305" s="96"/>
      <c r="N305" s="96"/>
      <c r="O305" s="96"/>
      <c r="P305" s="96"/>
      <c r="Q305" s="96"/>
      <c r="R305" s="96"/>
      <c r="S305" s="96"/>
      <c r="T305" s="96"/>
      <c r="U305" s="96"/>
      <c r="V305" s="96"/>
    </row>
    <row r="306">
      <c r="B306" s="89"/>
      <c r="C306" s="89"/>
      <c r="D306" s="89"/>
      <c r="E306" s="89"/>
      <c r="F306" s="96"/>
      <c r="G306" s="96"/>
      <c r="H306" s="96"/>
      <c r="I306" s="96"/>
      <c r="J306" s="96"/>
      <c r="K306" s="96"/>
      <c r="L306" s="96"/>
      <c r="M306" s="96"/>
      <c r="N306" s="96"/>
      <c r="O306" s="96"/>
      <c r="P306" s="96"/>
      <c r="Q306" s="96"/>
      <c r="R306" s="96"/>
      <c r="S306" s="96"/>
      <c r="T306" s="96"/>
      <c r="U306" s="96"/>
      <c r="V306" s="96"/>
    </row>
    <row r="307">
      <c r="B307" s="89"/>
      <c r="C307" s="89"/>
      <c r="D307" s="89"/>
      <c r="E307" s="89"/>
      <c r="F307" s="96"/>
      <c r="G307" s="96"/>
      <c r="H307" s="96"/>
      <c r="I307" s="96"/>
      <c r="J307" s="96"/>
      <c r="K307" s="96"/>
      <c r="L307" s="96"/>
      <c r="M307" s="96"/>
      <c r="N307" s="96"/>
      <c r="O307" s="96"/>
      <c r="P307" s="96"/>
      <c r="Q307" s="96"/>
      <c r="R307" s="96"/>
      <c r="S307" s="96"/>
      <c r="T307" s="96"/>
      <c r="U307" s="96"/>
      <c r="V307" s="96"/>
    </row>
    <row r="308">
      <c r="B308" s="89"/>
      <c r="C308" s="89"/>
      <c r="D308" s="89"/>
      <c r="E308" s="89"/>
      <c r="F308" s="96"/>
      <c r="G308" s="96"/>
      <c r="H308" s="96"/>
      <c r="I308" s="96"/>
      <c r="J308" s="96"/>
      <c r="K308" s="96"/>
      <c r="L308" s="96"/>
      <c r="M308" s="96"/>
      <c r="N308" s="96"/>
      <c r="O308" s="96"/>
      <c r="P308" s="96"/>
      <c r="Q308" s="96"/>
      <c r="R308" s="96"/>
      <c r="S308" s="96"/>
      <c r="T308" s="96"/>
      <c r="U308" s="96"/>
      <c r="V308" s="96"/>
    </row>
    <row r="309">
      <c r="B309" s="89"/>
      <c r="C309" s="89"/>
      <c r="D309" s="89"/>
      <c r="E309" s="89"/>
      <c r="F309" s="96"/>
      <c r="G309" s="96"/>
      <c r="H309" s="96"/>
      <c r="I309" s="96"/>
      <c r="J309" s="96"/>
      <c r="K309" s="96"/>
      <c r="L309" s="96"/>
      <c r="M309" s="96"/>
      <c r="N309" s="96"/>
      <c r="O309" s="96"/>
      <c r="P309" s="96"/>
      <c r="Q309" s="96"/>
      <c r="R309" s="96"/>
      <c r="S309" s="96"/>
      <c r="T309" s="96"/>
      <c r="U309" s="96"/>
      <c r="V309" s="96"/>
    </row>
    <row r="310">
      <c r="B310" s="89"/>
      <c r="C310" s="89"/>
      <c r="D310" s="89"/>
      <c r="E310" s="89"/>
      <c r="F310" s="96"/>
      <c r="G310" s="96"/>
      <c r="H310" s="96"/>
      <c r="I310" s="96"/>
      <c r="J310" s="96"/>
      <c r="K310" s="96"/>
      <c r="L310" s="96"/>
      <c r="M310" s="96"/>
      <c r="N310" s="96"/>
      <c r="O310" s="96"/>
      <c r="P310" s="96"/>
      <c r="Q310" s="96"/>
      <c r="R310" s="96"/>
      <c r="S310" s="96"/>
      <c r="T310" s="96"/>
      <c r="U310" s="96"/>
      <c r="V310" s="96"/>
    </row>
    <row r="311">
      <c r="B311" s="89"/>
      <c r="C311" s="89"/>
      <c r="D311" s="89"/>
      <c r="E311" s="89"/>
      <c r="F311" s="96"/>
      <c r="G311" s="96"/>
      <c r="H311" s="96"/>
      <c r="I311" s="96"/>
      <c r="J311" s="96"/>
      <c r="K311" s="96"/>
      <c r="L311" s="96"/>
      <c r="M311" s="96"/>
      <c r="N311" s="96"/>
      <c r="O311" s="96"/>
      <c r="P311" s="96"/>
      <c r="Q311" s="96"/>
      <c r="R311" s="96"/>
      <c r="S311" s="96"/>
      <c r="T311" s="96"/>
      <c r="U311" s="96"/>
      <c r="V311" s="96"/>
    </row>
    <row r="312">
      <c r="B312" s="89"/>
      <c r="C312" s="89"/>
      <c r="D312" s="89"/>
      <c r="E312" s="89"/>
      <c r="F312" s="96"/>
      <c r="G312" s="96"/>
      <c r="H312" s="96"/>
      <c r="I312" s="96"/>
      <c r="J312" s="96"/>
      <c r="K312" s="96"/>
      <c r="L312" s="96"/>
      <c r="M312" s="96"/>
      <c r="N312" s="96"/>
      <c r="O312" s="96"/>
      <c r="P312" s="96"/>
      <c r="Q312" s="96"/>
      <c r="R312" s="96"/>
      <c r="S312" s="96"/>
      <c r="T312" s="96"/>
      <c r="U312" s="96"/>
      <c r="V312" s="96"/>
    </row>
    <row r="313">
      <c r="B313" s="89"/>
      <c r="C313" s="89"/>
      <c r="D313" s="89"/>
      <c r="E313" s="89"/>
      <c r="F313" s="96"/>
      <c r="G313" s="96"/>
      <c r="H313" s="96"/>
      <c r="I313" s="96"/>
      <c r="J313" s="96"/>
      <c r="K313" s="96"/>
      <c r="L313" s="96"/>
      <c r="M313" s="96"/>
      <c r="N313" s="96"/>
      <c r="O313" s="96"/>
      <c r="P313" s="96"/>
      <c r="Q313" s="96"/>
      <c r="R313" s="96"/>
      <c r="S313" s="96"/>
      <c r="T313" s="96"/>
      <c r="U313" s="96"/>
      <c r="V313" s="96"/>
    </row>
    <row r="314">
      <c r="B314" s="89"/>
      <c r="C314" s="89"/>
      <c r="D314" s="89"/>
      <c r="E314" s="89"/>
      <c r="F314" s="96"/>
      <c r="G314" s="96"/>
      <c r="H314" s="96"/>
      <c r="I314" s="96"/>
      <c r="J314" s="96"/>
      <c r="K314" s="96"/>
      <c r="L314" s="96"/>
      <c r="M314" s="96"/>
      <c r="N314" s="96"/>
      <c r="O314" s="96"/>
      <c r="P314" s="96"/>
      <c r="Q314" s="96"/>
      <c r="R314" s="96"/>
      <c r="S314" s="96"/>
      <c r="T314" s="96"/>
      <c r="U314" s="96"/>
      <c r="V314" s="96"/>
    </row>
    <row r="315">
      <c r="B315" s="89"/>
      <c r="C315" s="89"/>
      <c r="D315" s="89"/>
      <c r="E315" s="89"/>
    </row>
    <row r="316">
      <c r="B316" s="89"/>
      <c r="C316" s="89"/>
      <c r="D316" s="89"/>
      <c r="E316" s="89"/>
    </row>
    <row r="317">
      <c r="B317" s="89"/>
      <c r="C317" s="89"/>
      <c r="D317" s="89"/>
      <c r="E317" s="89"/>
    </row>
    <row r="318">
      <c r="B318" s="89"/>
      <c r="C318" s="89"/>
      <c r="D318" s="89"/>
      <c r="E318" s="89"/>
    </row>
    <row r="319">
      <c r="B319" s="89"/>
      <c r="C319" s="89"/>
      <c r="D319" s="89"/>
      <c r="E319" s="89"/>
    </row>
    <row r="320">
      <c r="B320" s="89"/>
      <c r="C320" s="89"/>
      <c r="D320" s="89"/>
      <c r="E320" s="89"/>
    </row>
    <row r="321">
      <c r="B321" s="89"/>
      <c r="C321" s="89"/>
      <c r="D321" s="89"/>
      <c r="E321" s="89"/>
    </row>
    <row r="322">
      <c r="B322" s="89"/>
      <c r="C322" s="89"/>
      <c r="D322" s="89"/>
      <c r="E322" s="89"/>
    </row>
    <row r="323">
      <c r="B323" s="89"/>
      <c r="C323" s="89"/>
      <c r="D323" s="89"/>
      <c r="E323" s="89"/>
    </row>
    <row r="324">
      <c r="B324" s="89"/>
      <c r="C324" s="89"/>
      <c r="D324" s="89"/>
      <c r="E324" s="89"/>
    </row>
    <row r="325">
      <c r="B325" s="89"/>
      <c r="C325" s="89"/>
      <c r="D325" s="89"/>
      <c r="E325" s="89"/>
    </row>
    <row r="326">
      <c r="B326" s="89"/>
      <c r="C326" s="89"/>
      <c r="D326" s="89"/>
      <c r="E326" s="89"/>
    </row>
    <row r="327">
      <c r="B327" s="89"/>
      <c r="C327" s="89"/>
      <c r="D327" s="89"/>
      <c r="E327" s="89"/>
    </row>
    <row r="328">
      <c r="B328" s="89"/>
      <c r="C328" s="89"/>
      <c r="D328" s="89"/>
      <c r="E328" s="89"/>
    </row>
    <row r="329">
      <c r="B329" s="89"/>
      <c r="C329" s="89"/>
      <c r="D329" s="89"/>
      <c r="E329" s="89"/>
    </row>
    <row r="330">
      <c r="B330" s="89"/>
      <c r="C330" s="89"/>
      <c r="D330" s="89"/>
      <c r="E330" s="89"/>
    </row>
    <row r="331">
      <c r="B331" s="89"/>
      <c r="C331" s="89"/>
      <c r="D331" s="89"/>
      <c r="E331" s="89"/>
    </row>
    <row r="332">
      <c r="B332" s="89"/>
      <c r="C332" s="89"/>
      <c r="D332" s="89"/>
      <c r="E332" s="89"/>
    </row>
    <row r="333">
      <c r="B333" s="89"/>
      <c r="C333" s="89"/>
      <c r="D333" s="89"/>
      <c r="E333" s="89"/>
    </row>
    <row r="334">
      <c r="B334" s="89"/>
      <c r="C334" s="89"/>
      <c r="D334" s="89"/>
      <c r="E334" s="89"/>
    </row>
    <row r="335">
      <c r="B335" s="89"/>
      <c r="C335" s="89"/>
      <c r="D335" s="89"/>
      <c r="E335" s="89"/>
    </row>
    <row r="336">
      <c r="B336" s="89"/>
      <c r="C336" s="89"/>
      <c r="D336" s="89"/>
      <c r="E336" s="89"/>
    </row>
    <row r="337">
      <c r="B337" s="89"/>
      <c r="C337" s="89"/>
      <c r="D337" s="89"/>
      <c r="E337" s="89"/>
    </row>
    <row r="338">
      <c r="B338" s="89"/>
      <c r="C338" s="89"/>
      <c r="D338" s="89"/>
      <c r="E338" s="89"/>
    </row>
    <row r="339">
      <c r="B339" s="89"/>
      <c r="C339" s="89"/>
      <c r="D339" s="89"/>
      <c r="E339" s="89"/>
    </row>
    <row r="340">
      <c r="B340" s="89"/>
      <c r="C340" s="89"/>
      <c r="D340" s="89"/>
      <c r="E340" s="89"/>
    </row>
    <row r="341">
      <c r="B341" s="89"/>
      <c r="C341" s="89"/>
      <c r="D341" s="89"/>
      <c r="E341" s="89"/>
    </row>
    <row r="342">
      <c r="B342" s="89"/>
      <c r="C342" s="89"/>
      <c r="D342" s="89"/>
      <c r="E342" s="89"/>
    </row>
    <row r="343">
      <c r="B343" s="89"/>
      <c r="C343" s="89"/>
      <c r="D343" s="89"/>
      <c r="E343" s="89"/>
    </row>
    <row r="344">
      <c r="B344" s="89"/>
      <c r="C344" s="89"/>
      <c r="D344" s="89"/>
      <c r="E344" s="89"/>
    </row>
    <row r="345">
      <c r="B345" s="89"/>
      <c r="C345" s="89"/>
      <c r="D345" s="89"/>
      <c r="E345" s="89"/>
    </row>
    <row r="346">
      <c r="B346" s="89"/>
      <c r="C346" s="89"/>
      <c r="D346" s="89"/>
      <c r="E346" s="89"/>
    </row>
    <row r="347">
      <c r="B347" s="89"/>
      <c r="C347" s="89"/>
      <c r="D347" s="89"/>
      <c r="E347" s="89"/>
    </row>
    <row r="348">
      <c r="B348" s="89"/>
      <c r="C348" s="89"/>
      <c r="D348" s="89"/>
      <c r="E348" s="89"/>
    </row>
    <row r="349">
      <c r="B349" s="89"/>
      <c r="C349" s="89"/>
      <c r="D349" s="89"/>
      <c r="E349" s="89"/>
    </row>
    <row r="350">
      <c r="B350" s="89"/>
      <c r="C350" s="89"/>
      <c r="D350" s="89"/>
      <c r="E350" s="89"/>
    </row>
    <row r="351">
      <c r="B351" s="89"/>
      <c r="C351" s="89"/>
      <c r="D351" s="89"/>
      <c r="E351" s="89"/>
    </row>
    <row r="352">
      <c r="B352" s="89"/>
      <c r="C352" s="89"/>
      <c r="D352" s="89"/>
      <c r="E352" s="89"/>
    </row>
    <row r="353">
      <c r="B353" s="89"/>
      <c r="C353" s="89"/>
      <c r="D353" s="89"/>
      <c r="E353" s="89"/>
    </row>
    <row r="354">
      <c r="B354" s="89"/>
      <c r="C354" s="89"/>
      <c r="D354" s="89"/>
      <c r="E354" s="89"/>
    </row>
    <row r="355">
      <c r="B355" s="89"/>
      <c r="C355" s="89"/>
      <c r="D355" s="89"/>
      <c r="E355" s="89"/>
    </row>
    <row r="356">
      <c r="B356" s="89"/>
      <c r="C356" s="89"/>
      <c r="D356" s="89"/>
      <c r="E356" s="89"/>
    </row>
    <row r="357">
      <c r="B357" s="89"/>
      <c r="C357" s="89"/>
      <c r="D357" s="89"/>
      <c r="E357" s="89"/>
    </row>
    <row r="358">
      <c r="B358" s="89"/>
      <c r="C358" s="89"/>
      <c r="D358" s="89"/>
      <c r="E358" s="89"/>
    </row>
    <row r="359">
      <c r="B359" s="89"/>
      <c r="C359" s="89"/>
      <c r="D359" s="89"/>
      <c r="E359" s="89"/>
    </row>
    <row r="360">
      <c r="B360" s="89"/>
      <c r="C360" s="89"/>
      <c r="D360" s="89"/>
      <c r="E360" s="89"/>
    </row>
    <row r="361">
      <c r="B361" s="89"/>
      <c r="C361" s="89"/>
      <c r="D361" s="89"/>
      <c r="E361" s="89"/>
    </row>
    <row r="362">
      <c r="B362" s="89"/>
      <c r="C362" s="89"/>
      <c r="D362" s="89"/>
      <c r="E362" s="89"/>
    </row>
    <row r="363">
      <c r="B363" s="89"/>
      <c r="C363" s="89"/>
      <c r="D363" s="89"/>
      <c r="E363" s="89"/>
    </row>
    <row r="364">
      <c r="B364" s="89"/>
      <c r="C364" s="89"/>
      <c r="D364" s="89"/>
      <c r="E364" s="89"/>
    </row>
    <row r="365">
      <c r="B365" s="89"/>
      <c r="C365" s="89"/>
      <c r="D365" s="89"/>
      <c r="E365" s="89"/>
    </row>
    <row r="366">
      <c r="B366" s="89"/>
      <c r="C366" s="89"/>
      <c r="D366" s="89"/>
      <c r="E366" s="89"/>
    </row>
    <row r="367">
      <c r="B367" s="89"/>
      <c r="C367" s="89"/>
      <c r="D367" s="89"/>
      <c r="E367" s="89"/>
    </row>
    <row r="368">
      <c r="B368" s="89"/>
      <c r="C368" s="89"/>
      <c r="D368" s="89"/>
      <c r="E368" s="89"/>
    </row>
    <row r="369">
      <c r="B369" s="89"/>
      <c r="C369" s="89"/>
      <c r="D369" s="89"/>
      <c r="E369" s="89"/>
    </row>
    <row r="370">
      <c r="B370" s="89"/>
      <c r="C370" s="89"/>
      <c r="D370" s="89"/>
      <c r="E370" s="89"/>
    </row>
    <row r="371">
      <c r="B371" s="89"/>
      <c r="C371" s="89"/>
      <c r="D371" s="89"/>
      <c r="E371" s="89"/>
    </row>
    <row r="372">
      <c r="B372" s="89"/>
      <c r="C372" s="89"/>
      <c r="D372" s="89"/>
      <c r="E372" s="89"/>
    </row>
    <row r="373">
      <c r="B373" s="89"/>
      <c r="C373" s="89"/>
      <c r="D373" s="89"/>
      <c r="E373" s="89"/>
    </row>
    <row r="374">
      <c r="B374" s="89"/>
      <c r="C374" s="89"/>
      <c r="D374" s="89"/>
      <c r="E374" s="89"/>
    </row>
    <row r="375">
      <c r="B375" s="89"/>
      <c r="C375" s="89"/>
      <c r="D375" s="89"/>
      <c r="E375" s="89"/>
    </row>
    <row r="376">
      <c r="B376" s="89"/>
      <c r="C376" s="89"/>
      <c r="D376" s="89"/>
      <c r="E376" s="89"/>
    </row>
    <row r="377">
      <c r="B377" s="89"/>
      <c r="C377" s="89"/>
      <c r="D377" s="89"/>
      <c r="E377" s="89"/>
    </row>
    <row r="378">
      <c r="B378" s="89"/>
      <c r="C378" s="89"/>
      <c r="D378" s="89"/>
      <c r="E378" s="89"/>
    </row>
    <row r="379">
      <c r="B379" s="89"/>
      <c r="C379" s="89"/>
      <c r="D379" s="89"/>
      <c r="E379" s="89"/>
    </row>
    <row r="380">
      <c r="B380" s="89"/>
      <c r="C380" s="89"/>
      <c r="D380" s="89"/>
      <c r="E380" s="89"/>
    </row>
    <row r="381">
      <c r="B381" s="89"/>
      <c r="C381" s="89"/>
      <c r="D381" s="89"/>
      <c r="E381" s="89"/>
    </row>
    <row r="382">
      <c r="B382" s="89"/>
      <c r="C382" s="89"/>
      <c r="D382" s="89"/>
      <c r="E382" s="89"/>
    </row>
    <row r="383">
      <c r="B383" s="89"/>
      <c r="C383" s="89"/>
      <c r="D383" s="89"/>
      <c r="E383" s="89"/>
    </row>
    <row r="384">
      <c r="B384" s="89"/>
      <c r="C384" s="89"/>
      <c r="D384" s="89"/>
      <c r="E384" s="89"/>
    </row>
    <row r="385">
      <c r="B385" s="89"/>
      <c r="C385" s="89"/>
      <c r="D385" s="89"/>
      <c r="E385" s="89"/>
    </row>
    <row r="386">
      <c r="B386" s="89"/>
      <c r="C386" s="89"/>
      <c r="D386" s="89"/>
      <c r="E386" s="89"/>
    </row>
    <row r="387">
      <c r="B387" s="89"/>
      <c r="C387" s="89"/>
      <c r="D387" s="89"/>
      <c r="E387" s="89"/>
    </row>
    <row r="388">
      <c r="B388" s="89"/>
      <c r="C388" s="89"/>
      <c r="D388" s="89"/>
      <c r="E388" s="89"/>
    </row>
    <row r="389">
      <c r="B389" s="89"/>
      <c r="C389" s="89"/>
      <c r="D389" s="89"/>
      <c r="E389" s="89"/>
    </row>
    <row r="390">
      <c r="B390" s="89"/>
      <c r="C390" s="89"/>
      <c r="D390" s="89"/>
      <c r="E390" s="89"/>
    </row>
    <row r="391">
      <c r="B391" s="89"/>
      <c r="C391" s="89"/>
      <c r="D391" s="89"/>
      <c r="E391" s="89"/>
    </row>
    <row r="392">
      <c r="B392" s="89"/>
      <c r="C392" s="89"/>
      <c r="D392" s="89"/>
      <c r="E392" s="89"/>
    </row>
    <row r="393">
      <c r="B393" s="89"/>
      <c r="C393" s="89"/>
      <c r="D393" s="89"/>
      <c r="E393" s="89"/>
    </row>
    <row r="394">
      <c r="B394" s="89"/>
      <c r="C394" s="89"/>
      <c r="D394" s="89"/>
      <c r="E394" s="89"/>
    </row>
    <row r="395">
      <c r="B395" s="89"/>
      <c r="C395" s="89"/>
      <c r="D395" s="89"/>
      <c r="E395" s="89"/>
    </row>
    <row r="396">
      <c r="B396" s="89"/>
      <c r="C396" s="89"/>
      <c r="D396" s="89"/>
      <c r="E396" s="89"/>
    </row>
    <row r="397">
      <c r="B397" s="89"/>
      <c r="C397" s="89"/>
      <c r="D397" s="89"/>
      <c r="E397" s="89"/>
    </row>
    <row r="398">
      <c r="B398" s="89"/>
      <c r="C398" s="89"/>
      <c r="D398" s="89"/>
      <c r="E398" s="89"/>
    </row>
    <row r="399">
      <c r="B399" s="89"/>
      <c r="C399" s="89"/>
      <c r="D399" s="89"/>
      <c r="E399" s="89"/>
    </row>
    <row r="400">
      <c r="B400" s="89"/>
      <c r="C400" s="89"/>
      <c r="D400" s="89"/>
      <c r="E400" s="89"/>
    </row>
    <row r="401">
      <c r="B401" s="89"/>
      <c r="C401" s="89"/>
      <c r="D401" s="89"/>
      <c r="E401" s="89"/>
    </row>
    <row r="402">
      <c r="B402" s="89"/>
      <c r="C402" s="89"/>
      <c r="D402" s="89"/>
      <c r="E402" s="89"/>
    </row>
    <row r="403">
      <c r="B403" s="89"/>
      <c r="C403" s="89"/>
      <c r="D403" s="89"/>
      <c r="E403" s="89"/>
    </row>
    <row r="404">
      <c r="B404" s="89"/>
      <c r="C404" s="89"/>
      <c r="D404" s="89"/>
      <c r="E404" s="89"/>
    </row>
    <row r="405">
      <c r="B405" s="89"/>
      <c r="C405" s="89"/>
      <c r="D405" s="89"/>
      <c r="E405" s="89"/>
    </row>
    <row r="406">
      <c r="B406" s="89"/>
      <c r="C406" s="89"/>
      <c r="D406" s="89"/>
      <c r="E406" s="89"/>
    </row>
    <row r="407">
      <c r="B407" s="89"/>
      <c r="C407" s="89"/>
      <c r="D407" s="89"/>
      <c r="E407" s="89"/>
    </row>
    <row r="408">
      <c r="B408" s="89"/>
      <c r="C408" s="89"/>
      <c r="D408" s="89"/>
      <c r="E408" s="89"/>
    </row>
    <row r="409">
      <c r="B409" s="89"/>
      <c r="C409" s="89"/>
      <c r="D409" s="89"/>
      <c r="E409" s="89"/>
    </row>
    <row r="410">
      <c r="B410" s="89"/>
      <c r="C410" s="89"/>
      <c r="D410" s="89"/>
      <c r="E410" s="89"/>
    </row>
    <row r="411">
      <c r="B411" s="89"/>
      <c r="C411" s="89"/>
      <c r="D411" s="89"/>
      <c r="E411" s="89"/>
    </row>
    <row r="412">
      <c r="B412" s="89"/>
      <c r="C412" s="89"/>
      <c r="D412" s="89"/>
      <c r="E412" s="89"/>
    </row>
    <row r="413">
      <c r="B413" s="89"/>
      <c r="C413" s="89"/>
      <c r="D413" s="89"/>
      <c r="E413" s="89"/>
    </row>
    <row r="414">
      <c r="B414" s="89"/>
      <c r="C414" s="89"/>
      <c r="D414" s="89"/>
      <c r="E414" s="89"/>
    </row>
    <row r="415">
      <c r="B415" s="89"/>
      <c r="C415" s="89"/>
      <c r="D415" s="89"/>
      <c r="E415" s="89"/>
    </row>
    <row r="416">
      <c r="B416" s="89"/>
      <c r="C416" s="89"/>
      <c r="D416" s="89"/>
      <c r="E416" s="89"/>
    </row>
    <row r="417">
      <c r="B417" s="89"/>
      <c r="C417" s="89"/>
      <c r="D417" s="89"/>
      <c r="E417" s="89"/>
    </row>
    <row r="418">
      <c r="B418" s="89"/>
      <c r="C418" s="89"/>
      <c r="D418" s="89"/>
      <c r="E418" s="89"/>
    </row>
    <row r="419">
      <c r="B419" s="89"/>
      <c r="C419" s="89"/>
      <c r="D419" s="89"/>
      <c r="E419" s="89"/>
    </row>
    <row r="420">
      <c r="B420" s="89"/>
      <c r="C420" s="89"/>
      <c r="D420" s="89"/>
      <c r="E420" s="89"/>
    </row>
    <row r="421">
      <c r="B421" s="89"/>
      <c r="C421" s="89"/>
      <c r="D421" s="89"/>
      <c r="E421" s="89"/>
    </row>
    <row r="422">
      <c r="B422" s="89"/>
      <c r="C422" s="89"/>
      <c r="D422" s="89"/>
      <c r="E422" s="89"/>
    </row>
    <row r="423">
      <c r="B423" s="89"/>
      <c r="C423" s="89"/>
      <c r="D423" s="89"/>
      <c r="E423" s="89"/>
    </row>
    <row r="424">
      <c r="B424" s="89"/>
      <c r="C424" s="89"/>
      <c r="D424" s="89"/>
      <c r="E424" s="89"/>
    </row>
    <row r="425">
      <c r="B425" s="89"/>
      <c r="C425" s="89"/>
      <c r="D425" s="89"/>
      <c r="E425" s="89"/>
    </row>
    <row r="426">
      <c r="B426" s="89"/>
      <c r="C426" s="89"/>
      <c r="D426" s="89"/>
      <c r="E426" s="89"/>
    </row>
    <row r="427">
      <c r="B427" s="89"/>
      <c r="C427" s="89"/>
      <c r="D427" s="89"/>
      <c r="E427" s="89"/>
    </row>
    <row r="428">
      <c r="B428" s="89"/>
      <c r="C428" s="89"/>
      <c r="D428" s="89"/>
      <c r="E428" s="89"/>
    </row>
    <row r="429">
      <c r="B429" s="89"/>
      <c r="C429" s="89"/>
      <c r="D429" s="89"/>
      <c r="E429" s="89"/>
    </row>
    <row r="430">
      <c r="B430" s="89"/>
      <c r="C430" s="89"/>
      <c r="D430" s="89"/>
      <c r="E430" s="89"/>
    </row>
    <row r="431">
      <c r="B431" s="89"/>
      <c r="C431" s="89"/>
      <c r="D431" s="89"/>
      <c r="E431" s="89"/>
    </row>
    <row r="432">
      <c r="B432" s="89"/>
      <c r="C432" s="89"/>
      <c r="D432" s="89"/>
      <c r="E432" s="89"/>
    </row>
    <row r="433">
      <c r="B433" s="89"/>
      <c r="C433" s="89"/>
      <c r="D433" s="89"/>
      <c r="E433" s="89"/>
    </row>
    <row r="434">
      <c r="B434" s="89"/>
      <c r="C434" s="89"/>
      <c r="D434" s="89"/>
      <c r="E434" s="89"/>
    </row>
    <row r="435">
      <c r="B435" s="89"/>
      <c r="C435" s="89"/>
      <c r="D435" s="89"/>
      <c r="E435" s="89"/>
    </row>
    <row r="436">
      <c r="B436" s="89"/>
      <c r="C436" s="89"/>
      <c r="D436" s="89"/>
      <c r="E436" s="89"/>
    </row>
    <row r="437">
      <c r="B437" s="89"/>
      <c r="C437" s="89"/>
      <c r="D437" s="89"/>
      <c r="E437" s="89"/>
    </row>
    <row r="438">
      <c r="B438" s="89"/>
      <c r="C438" s="89"/>
      <c r="D438" s="89"/>
      <c r="E438" s="89"/>
    </row>
    <row r="439">
      <c r="B439" s="89"/>
      <c r="C439" s="89"/>
      <c r="D439" s="89"/>
      <c r="E439" s="89"/>
    </row>
    <row r="440">
      <c r="B440" s="89"/>
      <c r="C440" s="89"/>
      <c r="D440" s="89"/>
      <c r="E440" s="89"/>
    </row>
    <row r="441">
      <c r="B441" s="89"/>
      <c r="C441" s="89"/>
      <c r="D441" s="89"/>
      <c r="E441" s="89"/>
    </row>
    <row r="442">
      <c r="B442" s="89"/>
      <c r="C442" s="89"/>
      <c r="D442" s="89"/>
      <c r="E442" s="89"/>
    </row>
    <row r="443">
      <c r="B443" s="89"/>
      <c r="C443" s="89"/>
      <c r="D443" s="89"/>
      <c r="E443" s="89"/>
    </row>
    <row r="444">
      <c r="B444" s="89"/>
      <c r="C444" s="89"/>
      <c r="D444" s="89"/>
      <c r="E444" s="89"/>
    </row>
    <row r="445">
      <c r="B445" s="89"/>
      <c r="C445" s="89"/>
      <c r="D445" s="89"/>
      <c r="E445" s="89"/>
    </row>
    <row r="446">
      <c r="B446" s="89"/>
      <c r="C446" s="89"/>
      <c r="D446" s="89"/>
      <c r="E446" s="89"/>
    </row>
    <row r="447">
      <c r="B447" s="89"/>
      <c r="C447" s="89"/>
      <c r="D447" s="89"/>
      <c r="E447" s="89"/>
    </row>
    <row r="448">
      <c r="B448" s="89"/>
      <c r="C448" s="89"/>
      <c r="D448" s="89"/>
      <c r="E448" s="89"/>
    </row>
    <row r="449">
      <c r="B449" s="89"/>
      <c r="C449" s="89"/>
      <c r="D449" s="89"/>
      <c r="E449" s="89"/>
    </row>
    <row r="450">
      <c r="B450" s="89"/>
      <c r="C450" s="89"/>
      <c r="D450" s="89"/>
      <c r="E450" s="89"/>
    </row>
    <row r="451">
      <c r="B451" s="89"/>
      <c r="C451" s="89"/>
      <c r="D451" s="89"/>
      <c r="E451" s="89"/>
    </row>
    <row r="452">
      <c r="B452" s="89"/>
      <c r="C452" s="89"/>
      <c r="D452" s="89"/>
      <c r="E452" s="89"/>
    </row>
    <row r="453">
      <c r="B453" s="89"/>
      <c r="C453" s="89"/>
      <c r="D453" s="89"/>
      <c r="E453" s="89"/>
    </row>
    <row r="454">
      <c r="B454" s="89"/>
      <c r="C454" s="89"/>
      <c r="D454" s="89"/>
      <c r="E454" s="89"/>
    </row>
    <row r="455">
      <c r="B455" s="89"/>
      <c r="C455" s="89"/>
      <c r="D455" s="89"/>
      <c r="E455" s="89"/>
    </row>
    <row r="456">
      <c r="B456" s="89"/>
      <c r="C456" s="89"/>
      <c r="D456" s="89"/>
      <c r="E456" s="89"/>
    </row>
    <row r="457">
      <c r="B457" s="89"/>
      <c r="C457" s="89"/>
      <c r="D457" s="89"/>
      <c r="E457" s="89"/>
    </row>
    <row r="458">
      <c r="B458" s="89"/>
      <c r="C458" s="89"/>
      <c r="D458" s="89"/>
      <c r="E458" s="89"/>
    </row>
    <row r="459">
      <c r="B459" s="89"/>
      <c r="C459" s="89"/>
      <c r="D459" s="89"/>
      <c r="E459" s="89"/>
    </row>
    <row r="460">
      <c r="B460" s="89"/>
      <c r="C460" s="89"/>
      <c r="D460" s="89"/>
      <c r="E460" s="89"/>
    </row>
    <row r="461">
      <c r="B461" s="89"/>
      <c r="C461" s="89"/>
      <c r="D461" s="89"/>
      <c r="E461" s="89"/>
    </row>
    <row r="462">
      <c r="B462" s="89"/>
      <c r="C462" s="89"/>
      <c r="D462" s="89"/>
      <c r="E462" s="89"/>
    </row>
    <row r="463">
      <c r="B463" s="89"/>
      <c r="C463" s="89"/>
      <c r="D463" s="89"/>
      <c r="E463" s="89"/>
    </row>
    <row r="464">
      <c r="B464" s="89"/>
      <c r="C464" s="89"/>
      <c r="D464" s="89"/>
      <c r="E464" s="89"/>
    </row>
    <row r="465">
      <c r="B465" s="89"/>
      <c r="C465" s="89"/>
      <c r="D465" s="89"/>
      <c r="E465" s="89"/>
    </row>
    <row r="466">
      <c r="B466" s="89"/>
      <c r="C466" s="89"/>
      <c r="D466" s="89"/>
      <c r="E466" s="89"/>
    </row>
    <row r="467">
      <c r="B467" s="89"/>
      <c r="C467" s="89"/>
      <c r="D467" s="89"/>
      <c r="E467" s="89"/>
    </row>
    <row r="468">
      <c r="B468" s="89"/>
      <c r="C468" s="89"/>
      <c r="D468" s="89"/>
      <c r="E468" s="89"/>
    </row>
    <row r="469">
      <c r="B469" s="89"/>
      <c r="C469" s="89"/>
      <c r="D469" s="89"/>
      <c r="E469" s="89"/>
    </row>
    <row r="470">
      <c r="B470" s="89"/>
      <c r="C470" s="89"/>
      <c r="D470" s="89"/>
      <c r="E470" s="89"/>
    </row>
    <row r="471">
      <c r="B471" s="89"/>
      <c r="C471" s="89"/>
      <c r="D471" s="89"/>
      <c r="E471" s="89"/>
    </row>
    <row r="472">
      <c r="B472" s="89"/>
      <c r="C472" s="89"/>
      <c r="D472" s="89"/>
      <c r="E472" s="89"/>
    </row>
    <row r="473">
      <c r="B473" s="89"/>
      <c r="C473" s="89"/>
      <c r="D473" s="89"/>
      <c r="E473" s="89"/>
    </row>
    <row r="474">
      <c r="B474" s="89"/>
      <c r="C474" s="89"/>
      <c r="D474" s="89"/>
      <c r="E474" s="89"/>
    </row>
    <row r="475">
      <c r="B475" s="89"/>
      <c r="C475" s="89"/>
      <c r="D475" s="89"/>
      <c r="E475" s="89"/>
    </row>
    <row r="476">
      <c r="B476" s="89"/>
      <c r="C476" s="89"/>
      <c r="D476" s="89"/>
      <c r="E476" s="89"/>
    </row>
    <row r="477">
      <c r="B477" s="89"/>
      <c r="C477" s="89"/>
      <c r="D477" s="89"/>
      <c r="E477" s="89"/>
    </row>
    <row r="478">
      <c r="B478" s="89"/>
      <c r="C478" s="89"/>
      <c r="D478" s="89"/>
      <c r="E478" s="89"/>
    </row>
    <row r="479">
      <c r="B479" s="89"/>
      <c r="C479" s="89"/>
      <c r="D479" s="89"/>
      <c r="E479" s="89"/>
    </row>
    <row r="480">
      <c r="B480" s="89"/>
      <c r="C480" s="89"/>
      <c r="D480" s="89"/>
      <c r="E480" s="89"/>
    </row>
    <row r="481">
      <c r="B481" s="89"/>
      <c r="C481" s="89"/>
      <c r="D481" s="89"/>
      <c r="E481" s="89"/>
    </row>
    <row r="482">
      <c r="B482" s="89"/>
      <c r="C482" s="89"/>
      <c r="D482" s="89"/>
      <c r="E482" s="89"/>
    </row>
    <row r="483">
      <c r="B483" s="89"/>
      <c r="C483" s="89"/>
      <c r="D483" s="89"/>
      <c r="E483" s="89"/>
    </row>
    <row r="484">
      <c r="B484" s="89"/>
      <c r="C484" s="89"/>
      <c r="D484" s="89"/>
      <c r="E484" s="89"/>
    </row>
    <row r="485">
      <c r="B485" s="89"/>
      <c r="C485" s="89"/>
      <c r="D485" s="89"/>
      <c r="E485" s="89"/>
    </row>
    <row r="486">
      <c r="B486" s="89"/>
      <c r="C486" s="89"/>
      <c r="D486" s="89"/>
      <c r="E486" s="89"/>
    </row>
    <row r="487">
      <c r="B487" s="89"/>
      <c r="C487" s="89"/>
      <c r="D487" s="89"/>
      <c r="E487" s="89"/>
    </row>
    <row r="488">
      <c r="B488" s="89"/>
      <c r="C488" s="89"/>
      <c r="D488" s="89"/>
      <c r="E488" s="89"/>
    </row>
    <row r="489">
      <c r="B489" s="89"/>
      <c r="C489" s="89"/>
      <c r="D489" s="89"/>
      <c r="E489" s="89"/>
    </row>
    <row r="490">
      <c r="B490" s="89"/>
      <c r="C490" s="89"/>
      <c r="D490" s="89"/>
      <c r="E490" s="89"/>
    </row>
    <row r="491">
      <c r="B491" s="89"/>
      <c r="C491" s="89"/>
      <c r="D491" s="89"/>
      <c r="E491" s="89"/>
    </row>
    <row r="492">
      <c r="B492" s="89"/>
      <c r="C492" s="89"/>
      <c r="D492" s="89"/>
      <c r="E492" s="89"/>
    </row>
    <row r="493">
      <c r="B493" s="89"/>
      <c r="C493" s="89"/>
      <c r="D493" s="89"/>
      <c r="E493" s="89"/>
    </row>
    <row r="494">
      <c r="B494" s="89"/>
      <c r="C494" s="89"/>
      <c r="D494" s="89"/>
      <c r="E494" s="89"/>
    </row>
    <row r="495">
      <c r="B495" s="89"/>
      <c r="C495" s="89"/>
      <c r="D495" s="89"/>
      <c r="E495" s="89"/>
    </row>
    <row r="496">
      <c r="B496" s="89"/>
      <c r="C496" s="89"/>
      <c r="D496" s="89"/>
      <c r="E496" s="89"/>
    </row>
    <row r="497">
      <c r="B497" s="89"/>
      <c r="C497" s="89"/>
      <c r="D497" s="89"/>
      <c r="E497" s="89"/>
    </row>
    <row r="498">
      <c r="B498" s="89"/>
      <c r="C498" s="89"/>
      <c r="D498" s="89"/>
      <c r="E498" s="89"/>
    </row>
    <row r="499">
      <c r="B499" s="89"/>
      <c r="C499" s="89"/>
      <c r="D499" s="89"/>
      <c r="E499" s="89"/>
    </row>
    <row r="500">
      <c r="B500" s="89"/>
      <c r="C500" s="89"/>
      <c r="D500" s="89"/>
      <c r="E500" s="89"/>
    </row>
    <row r="501">
      <c r="B501" s="89"/>
      <c r="C501" s="89"/>
      <c r="D501" s="89"/>
      <c r="E501" s="89"/>
    </row>
    <row r="502">
      <c r="B502" s="89"/>
      <c r="C502" s="89"/>
      <c r="D502" s="89"/>
      <c r="E502" s="89"/>
    </row>
    <row r="503">
      <c r="B503" s="89"/>
      <c r="C503" s="89"/>
      <c r="D503" s="89"/>
      <c r="E503" s="89"/>
    </row>
    <row r="504">
      <c r="B504" s="89"/>
      <c r="C504" s="89"/>
      <c r="D504" s="89"/>
      <c r="E504" s="89"/>
    </row>
    <row r="505">
      <c r="B505" s="89"/>
      <c r="C505" s="89"/>
      <c r="D505" s="89"/>
      <c r="E505" s="89"/>
    </row>
    <row r="506">
      <c r="B506" s="89"/>
      <c r="C506" s="89"/>
      <c r="D506" s="89"/>
      <c r="E506" s="89"/>
    </row>
    <row r="507">
      <c r="B507" s="89"/>
      <c r="C507" s="89"/>
      <c r="D507" s="89"/>
      <c r="E507" s="89"/>
    </row>
    <row r="508">
      <c r="B508" s="89"/>
      <c r="C508" s="89"/>
      <c r="D508" s="89"/>
      <c r="E508" s="89"/>
    </row>
    <row r="509">
      <c r="B509" s="89"/>
      <c r="C509" s="89"/>
      <c r="D509" s="89"/>
      <c r="E509" s="89"/>
    </row>
    <row r="510">
      <c r="B510" s="89"/>
      <c r="C510" s="89"/>
      <c r="D510" s="89"/>
      <c r="E510" s="89"/>
    </row>
    <row r="511">
      <c r="B511" s="89"/>
      <c r="C511" s="89"/>
      <c r="D511" s="89"/>
      <c r="E511" s="89"/>
    </row>
    <row r="512">
      <c r="B512" s="89"/>
      <c r="C512" s="89"/>
      <c r="D512" s="89"/>
      <c r="E512" s="89"/>
    </row>
    <row r="513">
      <c r="B513" s="89"/>
      <c r="C513" s="89"/>
      <c r="D513" s="89"/>
      <c r="E513" s="89"/>
    </row>
    <row r="514">
      <c r="B514" s="89"/>
      <c r="C514" s="89"/>
      <c r="D514" s="89"/>
      <c r="E514" s="89"/>
    </row>
    <row r="515">
      <c r="B515" s="89"/>
      <c r="C515" s="89"/>
      <c r="D515" s="89"/>
      <c r="E515" s="89"/>
    </row>
    <row r="516">
      <c r="B516" s="89"/>
      <c r="C516" s="89"/>
      <c r="D516" s="89"/>
      <c r="E516" s="89"/>
    </row>
    <row r="517">
      <c r="B517" s="89"/>
      <c r="C517" s="89"/>
      <c r="D517" s="89"/>
      <c r="E517" s="89"/>
    </row>
    <row r="518">
      <c r="B518" s="89"/>
      <c r="C518" s="89"/>
      <c r="D518" s="89"/>
      <c r="E518" s="89"/>
    </row>
    <row r="519">
      <c r="B519" s="89"/>
      <c r="C519" s="89"/>
      <c r="D519" s="89"/>
      <c r="E519" s="89"/>
    </row>
    <row r="520">
      <c r="B520" s="89"/>
      <c r="C520" s="89"/>
      <c r="D520" s="89"/>
      <c r="E520" s="89"/>
    </row>
    <row r="521">
      <c r="B521" s="89"/>
      <c r="C521" s="89"/>
      <c r="D521" s="89"/>
      <c r="E521" s="89"/>
    </row>
    <row r="522">
      <c r="B522" s="89"/>
      <c r="C522" s="89"/>
      <c r="D522" s="89"/>
      <c r="E522" s="89"/>
    </row>
    <row r="523">
      <c r="B523" s="89"/>
      <c r="C523" s="89"/>
      <c r="D523" s="89"/>
      <c r="E523" s="89"/>
    </row>
    <row r="524">
      <c r="B524" s="89"/>
      <c r="C524" s="89"/>
      <c r="D524" s="89"/>
      <c r="E524" s="89"/>
    </row>
    <row r="525">
      <c r="B525" s="89"/>
      <c r="C525" s="89"/>
      <c r="D525" s="89"/>
      <c r="E525" s="89"/>
    </row>
    <row r="526">
      <c r="B526" s="89"/>
      <c r="C526" s="89"/>
      <c r="D526" s="89"/>
      <c r="E526" s="89"/>
    </row>
    <row r="527">
      <c r="B527" s="89"/>
      <c r="C527" s="89"/>
      <c r="D527" s="89"/>
      <c r="E527" s="89"/>
    </row>
    <row r="528">
      <c r="B528" s="89"/>
      <c r="C528" s="89"/>
      <c r="D528" s="89"/>
      <c r="E528" s="89"/>
    </row>
    <row r="529">
      <c r="B529" s="89"/>
      <c r="C529" s="89"/>
      <c r="D529" s="89"/>
      <c r="E529" s="89"/>
    </row>
    <row r="530">
      <c r="B530" s="89"/>
      <c r="C530" s="89"/>
      <c r="D530" s="89"/>
      <c r="E530" s="89"/>
    </row>
    <row r="531">
      <c r="B531" s="89"/>
      <c r="C531" s="89"/>
      <c r="D531" s="89"/>
      <c r="E531" s="89"/>
    </row>
    <row r="532">
      <c r="B532" s="89"/>
      <c r="C532" s="89"/>
      <c r="D532" s="89"/>
      <c r="E532" s="89"/>
    </row>
    <row r="533">
      <c r="B533" s="89"/>
      <c r="C533" s="89"/>
      <c r="D533" s="89"/>
      <c r="E533" s="89"/>
    </row>
    <row r="534">
      <c r="B534" s="89"/>
      <c r="C534" s="89"/>
      <c r="D534" s="89"/>
      <c r="E534" s="89"/>
    </row>
    <row r="535">
      <c r="B535" s="89"/>
      <c r="C535" s="89"/>
      <c r="D535" s="89"/>
      <c r="E535" s="89"/>
    </row>
    <row r="536">
      <c r="B536" s="89"/>
      <c r="C536" s="89"/>
      <c r="D536" s="89"/>
      <c r="E536" s="89"/>
    </row>
    <row r="537">
      <c r="B537" s="89"/>
      <c r="C537" s="89"/>
      <c r="D537" s="89"/>
      <c r="E537" s="89"/>
    </row>
    <row r="538">
      <c r="B538" s="89"/>
      <c r="C538" s="89"/>
      <c r="D538" s="89"/>
      <c r="E538" s="89"/>
    </row>
    <row r="539">
      <c r="B539" s="89"/>
      <c r="C539" s="89"/>
      <c r="D539" s="89"/>
      <c r="E539" s="89"/>
    </row>
    <row r="540">
      <c r="B540" s="89"/>
      <c r="C540" s="89"/>
      <c r="D540" s="89"/>
      <c r="E540" s="89"/>
    </row>
    <row r="541">
      <c r="B541" s="89"/>
      <c r="C541" s="89"/>
      <c r="D541" s="89"/>
      <c r="E541" s="89"/>
    </row>
    <row r="542">
      <c r="B542" s="89"/>
      <c r="C542" s="89"/>
      <c r="D542" s="89"/>
      <c r="E542" s="89"/>
    </row>
    <row r="543">
      <c r="B543" s="89"/>
      <c r="C543" s="89"/>
      <c r="D543" s="89"/>
      <c r="E543" s="89"/>
    </row>
    <row r="544">
      <c r="B544" s="89"/>
      <c r="C544" s="89"/>
      <c r="D544" s="89"/>
      <c r="E544" s="89"/>
    </row>
    <row r="545">
      <c r="B545" s="89"/>
      <c r="C545" s="89"/>
      <c r="D545" s="89"/>
      <c r="E545" s="89"/>
    </row>
    <row r="546">
      <c r="B546" s="89"/>
      <c r="C546" s="89"/>
      <c r="D546" s="89"/>
      <c r="E546" s="89"/>
    </row>
    <row r="547">
      <c r="B547" s="89"/>
      <c r="C547" s="89"/>
      <c r="D547" s="89"/>
      <c r="E547" s="89"/>
    </row>
    <row r="548">
      <c r="B548" s="89"/>
      <c r="C548" s="89"/>
      <c r="D548" s="89"/>
      <c r="E548" s="89"/>
    </row>
    <row r="549">
      <c r="B549" s="89"/>
      <c r="C549" s="89"/>
      <c r="D549" s="89"/>
      <c r="E549" s="89"/>
    </row>
    <row r="550">
      <c r="B550" s="89"/>
      <c r="C550" s="89"/>
      <c r="D550" s="89"/>
      <c r="E550" s="89"/>
    </row>
    <row r="551">
      <c r="B551" s="89"/>
      <c r="C551" s="89"/>
      <c r="D551" s="89"/>
      <c r="E551" s="89"/>
    </row>
    <row r="552">
      <c r="B552" s="89"/>
      <c r="C552" s="89"/>
      <c r="D552" s="89"/>
      <c r="E552" s="89"/>
    </row>
    <row r="553">
      <c r="B553" s="89"/>
      <c r="C553" s="89"/>
      <c r="D553" s="89"/>
      <c r="E553" s="89"/>
    </row>
    <row r="554">
      <c r="B554" s="89"/>
      <c r="C554" s="89"/>
      <c r="D554" s="89"/>
      <c r="E554" s="89"/>
    </row>
    <row r="555">
      <c r="B555" s="89"/>
      <c r="C555" s="89"/>
      <c r="D555" s="89"/>
      <c r="E555" s="89"/>
    </row>
    <row r="556">
      <c r="B556" s="89"/>
      <c r="C556" s="89"/>
      <c r="D556" s="89"/>
      <c r="E556" s="89"/>
    </row>
    <row r="557">
      <c r="B557" s="89"/>
      <c r="C557" s="89"/>
      <c r="D557" s="89"/>
      <c r="E557" s="89"/>
    </row>
    <row r="558">
      <c r="B558" s="89"/>
      <c r="C558" s="89"/>
      <c r="D558" s="89"/>
      <c r="E558" s="89"/>
    </row>
    <row r="559">
      <c r="B559" s="89"/>
      <c r="C559" s="89"/>
      <c r="D559" s="89"/>
      <c r="E559" s="89"/>
    </row>
    <row r="560">
      <c r="B560" s="89"/>
      <c r="C560" s="89"/>
      <c r="D560" s="89"/>
      <c r="E560" s="89"/>
    </row>
    <row r="561">
      <c r="B561" s="89"/>
      <c r="C561" s="89"/>
      <c r="D561" s="89"/>
      <c r="E561" s="89"/>
    </row>
    <row r="562">
      <c r="B562" s="89"/>
      <c r="C562" s="89"/>
      <c r="D562" s="89"/>
      <c r="E562" s="89"/>
    </row>
    <row r="563">
      <c r="B563" s="89"/>
      <c r="C563" s="89"/>
      <c r="D563" s="89"/>
      <c r="E563" s="89"/>
    </row>
    <row r="564">
      <c r="B564" s="89"/>
      <c r="C564" s="89"/>
      <c r="D564" s="89"/>
      <c r="E564" s="89"/>
    </row>
    <row r="565">
      <c r="B565" s="89"/>
      <c r="C565" s="89"/>
      <c r="D565" s="89"/>
      <c r="E565" s="89"/>
    </row>
    <row r="566">
      <c r="B566" s="89"/>
      <c r="C566" s="89"/>
      <c r="D566" s="89"/>
      <c r="E566" s="89"/>
    </row>
    <row r="567">
      <c r="B567" s="89"/>
      <c r="C567" s="89"/>
      <c r="D567" s="89"/>
      <c r="E567" s="89"/>
    </row>
    <row r="568">
      <c r="B568" s="89"/>
      <c r="C568" s="89"/>
      <c r="D568" s="89"/>
      <c r="E568" s="89"/>
    </row>
    <row r="569">
      <c r="B569" s="89"/>
      <c r="C569" s="89"/>
      <c r="D569" s="89"/>
      <c r="E569" s="89"/>
    </row>
    <row r="570">
      <c r="B570" s="89"/>
      <c r="C570" s="89"/>
      <c r="D570" s="89"/>
      <c r="E570" s="89"/>
    </row>
    <row r="571">
      <c r="B571" s="89"/>
      <c r="C571" s="89"/>
      <c r="D571" s="89"/>
      <c r="E571" s="89"/>
    </row>
    <row r="572">
      <c r="B572" s="89"/>
      <c r="C572" s="89"/>
      <c r="D572" s="89"/>
      <c r="E572" s="89"/>
    </row>
    <row r="573">
      <c r="B573" s="89"/>
      <c r="C573" s="89"/>
      <c r="D573" s="89"/>
      <c r="E573" s="89"/>
    </row>
    <row r="574">
      <c r="B574" s="89"/>
      <c r="C574" s="89"/>
      <c r="D574" s="89"/>
      <c r="E574" s="89"/>
    </row>
    <row r="575">
      <c r="B575" s="89"/>
      <c r="C575" s="89"/>
      <c r="D575" s="89"/>
      <c r="E575" s="89"/>
    </row>
    <row r="576">
      <c r="B576" s="89"/>
      <c r="C576" s="89"/>
      <c r="D576" s="89"/>
      <c r="E576" s="89"/>
    </row>
    <row r="577">
      <c r="B577" s="89"/>
      <c r="C577" s="89"/>
      <c r="D577" s="89"/>
      <c r="E577" s="89"/>
    </row>
    <row r="578">
      <c r="B578" s="89"/>
      <c r="C578" s="89"/>
      <c r="D578" s="89"/>
      <c r="E578" s="89"/>
    </row>
    <row r="579">
      <c r="B579" s="89"/>
      <c r="C579" s="89"/>
      <c r="D579" s="89"/>
      <c r="E579" s="89"/>
    </row>
    <row r="580">
      <c r="B580" s="89"/>
      <c r="C580" s="89"/>
      <c r="D580" s="89"/>
      <c r="E580" s="89"/>
    </row>
    <row r="581">
      <c r="B581" s="89"/>
      <c r="C581" s="89"/>
      <c r="D581" s="89"/>
      <c r="E581" s="89"/>
    </row>
    <row r="582">
      <c r="B582" s="89"/>
      <c r="C582" s="89"/>
      <c r="D582" s="89"/>
      <c r="E582" s="89"/>
    </row>
    <row r="583">
      <c r="B583" s="89"/>
      <c r="C583" s="89"/>
      <c r="D583" s="89"/>
      <c r="E583" s="89"/>
    </row>
    <row r="584">
      <c r="B584" s="89"/>
      <c r="C584" s="89"/>
      <c r="D584" s="89"/>
      <c r="E584" s="89"/>
    </row>
    <row r="585">
      <c r="B585" s="89"/>
      <c r="C585" s="89"/>
      <c r="D585" s="89"/>
      <c r="E585" s="89"/>
    </row>
    <row r="586">
      <c r="B586" s="89"/>
      <c r="C586" s="89"/>
      <c r="D586" s="89"/>
      <c r="E586" s="89"/>
    </row>
    <row r="587">
      <c r="B587" s="89"/>
      <c r="C587" s="89"/>
      <c r="D587" s="89"/>
      <c r="E587" s="89"/>
    </row>
    <row r="588">
      <c r="B588" s="89"/>
      <c r="C588" s="89"/>
      <c r="D588" s="89"/>
      <c r="E588" s="89"/>
    </row>
    <row r="589">
      <c r="B589" s="89"/>
      <c r="C589" s="89"/>
      <c r="D589" s="89"/>
      <c r="E589" s="89"/>
    </row>
    <row r="590">
      <c r="B590" s="89"/>
      <c r="C590" s="89"/>
      <c r="D590" s="89"/>
      <c r="E590" s="89"/>
    </row>
    <row r="591">
      <c r="B591" s="89"/>
      <c r="C591" s="89"/>
      <c r="D591" s="89"/>
      <c r="E591" s="89"/>
    </row>
    <row r="592">
      <c r="B592" s="89"/>
      <c r="C592" s="89"/>
      <c r="D592" s="89"/>
      <c r="E592" s="89"/>
    </row>
    <row r="593">
      <c r="B593" s="89"/>
      <c r="C593" s="89"/>
      <c r="D593" s="89"/>
      <c r="E593" s="89"/>
    </row>
    <row r="594">
      <c r="B594" s="89"/>
      <c r="C594" s="89"/>
      <c r="D594" s="89"/>
      <c r="E594" s="89"/>
    </row>
    <row r="595">
      <c r="B595" s="89"/>
      <c r="C595" s="89"/>
      <c r="D595" s="89"/>
      <c r="E595" s="89"/>
    </row>
    <row r="596">
      <c r="B596" s="89"/>
      <c r="C596" s="89"/>
      <c r="D596" s="89"/>
      <c r="E596" s="89"/>
    </row>
    <row r="597">
      <c r="B597" s="89"/>
      <c r="C597" s="89"/>
      <c r="D597" s="89"/>
      <c r="E597" s="89"/>
    </row>
    <row r="598">
      <c r="B598" s="89"/>
      <c r="C598" s="89"/>
      <c r="D598" s="89"/>
      <c r="E598" s="89"/>
    </row>
    <row r="599">
      <c r="B599" s="89"/>
      <c r="C599" s="89"/>
      <c r="D599" s="89"/>
      <c r="E599" s="89"/>
    </row>
    <row r="600">
      <c r="B600" s="89"/>
      <c r="C600" s="89"/>
      <c r="D600" s="89"/>
      <c r="E600" s="89"/>
    </row>
    <row r="601">
      <c r="B601" s="89"/>
      <c r="C601" s="89"/>
      <c r="D601" s="89"/>
      <c r="E601" s="89"/>
    </row>
    <row r="602">
      <c r="B602" s="89"/>
      <c r="C602" s="89"/>
      <c r="D602" s="89"/>
      <c r="E602" s="89"/>
    </row>
    <row r="603">
      <c r="B603" s="89"/>
      <c r="C603" s="89"/>
      <c r="D603" s="89"/>
      <c r="E603" s="89"/>
    </row>
    <row r="604">
      <c r="B604" s="89"/>
      <c r="C604" s="89"/>
      <c r="D604" s="89"/>
      <c r="E604" s="89"/>
    </row>
    <row r="605">
      <c r="B605" s="89"/>
      <c r="C605" s="89"/>
      <c r="D605" s="89"/>
      <c r="E605" s="89"/>
    </row>
    <row r="606">
      <c r="B606" s="89"/>
      <c r="C606" s="89"/>
      <c r="D606" s="89"/>
      <c r="E606" s="89"/>
    </row>
    <row r="607">
      <c r="B607" s="89"/>
      <c r="C607" s="89"/>
      <c r="D607" s="89"/>
      <c r="E607" s="89"/>
    </row>
    <row r="608">
      <c r="B608" s="89"/>
      <c r="C608" s="89"/>
      <c r="D608" s="89"/>
      <c r="E608" s="89"/>
    </row>
    <row r="609">
      <c r="B609" s="89"/>
      <c r="C609" s="89"/>
      <c r="D609" s="89"/>
      <c r="E609" s="89"/>
    </row>
    <row r="610">
      <c r="B610" s="89"/>
      <c r="C610" s="89"/>
      <c r="D610" s="89"/>
      <c r="E610" s="89"/>
    </row>
    <row r="611">
      <c r="B611" s="89"/>
      <c r="C611" s="89"/>
      <c r="D611" s="89"/>
      <c r="E611" s="89"/>
    </row>
    <row r="612">
      <c r="B612" s="89"/>
      <c r="C612" s="89"/>
      <c r="D612" s="89"/>
      <c r="E612" s="89"/>
    </row>
    <row r="613">
      <c r="B613" s="89"/>
      <c r="C613" s="89"/>
      <c r="D613" s="89"/>
      <c r="E613" s="89"/>
    </row>
    <row r="614">
      <c r="B614" s="89"/>
      <c r="C614" s="89"/>
      <c r="D614" s="89"/>
      <c r="E614" s="89"/>
    </row>
    <row r="615">
      <c r="B615" s="89"/>
      <c r="C615" s="89"/>
      <c r="D615" s="89"/>
      <c r="E615" s="89"/>
    </row>
    <row r="616">
      <c r="B616" s="89"/>
      <c r="C616" s="89"/>
      <c r="D616" s="89"/>
      <c r="E616" s="89"/>
    </row>
    <row r="617">
      <c r="B617" s="89"/>
      <c r="C617" s="89"/>
      <c r="D617" s="89"/>
      <c r="E617" s="89"/>
    </row>
    <row r="618">
      <c r="B618" s="89"/>
      <c r="C618" s="89"/>
      <c r="D618" s="89"/>
      <c r="E618" s="89"/>
    </row>
    <row r="619">
      <c r="B619" s="89"/>
      <c r="C619" s="89"/>
      <c r="D619" s="89"/>
      <c r="E619" s="89"/>
    </row>
    <row r="620">
      <c r="B620" s="89"/>
      <c r="C620" s="89"/>
      <c r="D620" s="89"/>
      <c r="E620" s="89"/>
    </row>
    <row r="621">
      <c r="B621" s="89"/>
      <c r="C621" s="89"/>
      <c r="D621" s="89"/>
      <c r="E621" s="89"/>
    </row>
    <row r="622">
      <c r="B622" s="89"/>
      <c r="C622" s="89"/>
      <c r="D622" s="89"/>
      <c r="E622" s="89"/>
    </row>
    <row r="623">
      <c r="B623" s="89"/>
      <c r="C623" s="89"/>
      <c r="D623" s="89"/>
      <c r="E623" s="89"/>
    </row>
    <row r="624">
      <c r="B624" s="89"/>
      <c r="C624" s="89"/>
      <c r="D624" s="89"/>
      <c r="E624" s="89"/>
    </row>
    <row r="625">
      <c r="B625" s="89"/>
      <c r="C625" s="89"/>
      <c r="D625" s="89"/>
      <c r="E625" s="89"/>
    </row>
    <row r="626">
      <c r="B626" s="89"/>
      <c r="C626" s="89"/>
      <c r="D626" s="89"/>
      <c r="E626" s="89"/>
    </row>
    <row r="627">
      <c r="B627" s="89"/>
      <c r="C627" s="89"/>
      <c r="D627" s="89"/>
      <c r="E627" s="89"/>
    </row>
    <row r="628">
      <c r="B628" s="89"/>
      <c r="C628" s="89"/>
      <c r="D628" s="89"/>
      <c r="E628" s="89"/>
    </row>
    <row r="629">
      <c r="B629" s="89"/>
      <c r="C629" s="89"/>
      <c r="D629" s="89"/>
      <c r="E629" s="89"/>
    </row>
    <row r="630">
      <c r="B630" s="89"/>
      <c r="C630" s="89"/>
      <c r="D630" s="89"/>
      <c r="E630" s="89"/>
    </row>
    <row r="631">
      <c r="B631" s="89"/>
      <c r="C631" s="89"/>
      <c r="D631" s="89"/>
      <c r="E631" s="89"/>
    </row>
    <row r="632">
      <c r="B632" s="89"/>
      <c r="C632" s="89"/>
      <c r="D632" s="89"/>
      <c r="E632" s="89"/>
    </row>
    <row r="633">
      <c r="B633" s="89"/>
      <c r="C633" s="89"/>
      <c r="D633" s="89"/>
      <c r="E633" s="89"/>
    </row>
    <row r="634">
      <c r="B634" s="89"/>
      <c r="C634" s="89"/>
      <c r="D634" s="89"/>
      <c r="E634" s="89"/>
    </row>
    <row r="635">
      <c r="B635" s="89"/>
      <c r="C635" s="89"/>
      <c r="D635" s="89"/>
      <c r="E635" s="89"/>
    </row>
    <row r="636">
      <c r="B636" s="89"/>
      <c r="C636" s="89"/>
      <c r="D636" s="89"/>
      <c r="E636" s="89"/>
    </row>
    <row r="637">
      <c r="B637" s="89"/>
      <c r="C637" s="89"/>
      <c r="D637" s="89"/>
      <c r="E637" s="89"/>
    </row>
    <row r="638">
      <c r="B638" s="89"/>
      <c r="C638" s="89"/>
      <c r="D638" s="89"/>
      <c r="E638" s="89"/>
    </row>
    <row r="639">
      <c r="B639" s="89"/>
      <c r="C639" s="89"/>
      <c r="D639" s="89"/>
      <c r="E639" s="89"/>
    </row>
    <row r="640">
      <c r="B640" s="89"/>
      <c r="C640" s="89"/>
      <c r="D640" s="89"/>
      <c r="E640" s="89"/>
    </row>
    <row r="641">
      <c r="B641" s="89"/>
      <c r="C641" s="89"/>
      <c r="D641" s="89"/>
      <c r="E641" s="89"/>
    </row>
    <row r="642">
      <c r="B642" s="89"/>
      <c r="C642" s="89"/>
      <c r="D642" s="89"/>
      <c r="E642" s="89"/>
    </row>
    <row r="643">
      <c r="B643" s="89"/>
      <c r="C643" s="89"/>
      <c r="D643" s="89"/>
      <c r="E643" s="89"/>
    </row>
    <row r="644">
      <c r="B644" s="89"/>
      <c r="C644" s="89"/>
      <c r="D644" s="89"/>
      <c r="E644" s="89"/>
    </row>
    <row r="645">
      <c r="B645" s="89"/>
      <c r="C645" s="89"/>
      <c r="D645" s="89"/>
      <c r="E645" s="89"/>
    </row>
    <row r="646">
      <c r="B646" s="89"/>
      <c r="C646" s="89"/>
      <c r="D646" s="89"/>
      <c r="E646" s="89"/>
    </row>
    <row r="647">
      <c r="B647" s="89"/>
      <c r="C647" s="89"/>
      <c r="D647" s="89"/>
      <c r="E647" s="89"/>
    </row>
    <row r="648">
      <c r="B648" s="89"/>
      <c r="C648" s="89"/>
      <c r="D648" s="89"/>
      <c r="E648" s="89"/>
    </row>
    <row r="649">
      <c r="B649" s="89"/>
      <c r="C649" s="89"/>
      <c r="D649" s="89"/>
      <c r="E649" s="89"/>
    </row>
    <row r="650">
      <c r="B650" s="89"/>
      <c r="C650" s="89"/>
      <c r="D650" s="89"/>
      <c r="E650" s="89"/>
    </row>
    <row r="651">
      <c r="B651" s="89"/>
      <c r="C651" s="89"/>
      <c r="D651" s="89"/>
      <c r="E651" s="89"/>
    </row>
    <row r="652">
      <c r="B652" s="89"/>
      <c r="C652" s="89"/>
      <c r="D652" s="89"/>
      <c r="E652" s="89"/>
    </row>
    <row r="653">
      <c r="B653" s="89"/>
      <c r="C653" s="89"/>
      <c r="D653" s="89"/>
      <c r="E653" s="89"/>
    </row>
    <row r="654">
      <c r="B654" s="89"/>
      <c r="C654" s="89"/>
      <c r="D654" s="89"/>
      <c r="E654" s="89"/>
    </row>
    <row r="655">
      <c r="B655" s="89"/>
      <c r="C655" s="89"/>
      <c r="D655" s="89"/>
      <c r="E655" s="89"/>
    </row>
    <row r="656">
      <c r="B656" s="89"/>
      <c r="C656" s="89"/>
      <c r="D656" s="89"/>
      <c r="E656" s="89"/>
    </row>
    <row r="657">
      <c r="B657" s="89"/>
      <c r="C657" s="89"/>
      <c r="D657" s="89"/>
      <c r="E657" s="89"/>
    </row>
    <row r="658">
      <c r="B658" s="89"/>
      <c r="C658" s="89"/>
      <c r="D658" s="89"/>
      <c r="E658" s="89"/>
    </row>
    <row r="659">
      <c r="B659" s="89"/>
      <c r="C659" s="89"/>
      <c r="D659" s="89"/>
      <c r="E659" s="89"/>
    </row>
    <row r="660">
      <c r="B660" s="89"/>
      <c r="C660" s="89"/>
      <c r="D660" s="89"/>
      <c r="E660" s="89"/>
    </row>
    <row r="661">
      <c r="B661" s="89"/>
      <c r="C661" s="89"/>
      <c r="D661" s="89"/>
      <c r="E661" s="89"/>
    </row>
    <row r="662">
      <c r="B662" s="89"/>
      <c r="C662" s="89"/>
      <c r="D662" s="89"/>
      <c r="E662" s="89"/>
    </row>
    <row r="663">
      <c r="B663" s="89"/>
      <c r="C663" s="89"/>
      <c r="D663" s="89"/>
      <c r="E663" s="89"/>
    </row>
    <row r="664">
      <c r="B664" s="89"/>
      <c r="C664" s="89"/>
      <c r="D664" s="89"/>
      <c r="E664" s="89"/>
    </row>
    <row r="665">
      <c r="B665" s="89"/>
      <c r="C665" s="89"/>
      <c r="D665" s="89"/>
      <c r="E665" s="89"/>
    </row>
    <row r="666">
      <c r="B666" s="89"/>
      <c r="C666" s="89"/>
      <c r="D666" s="89"/>
      <c r="E666" s="89"/>
    </row>
    <row r="667">
      <c r="B667" s="89"/>
      <c r="C667" s="89"/>
      <c r="D667" s="89"/>
      <c r="E667" s="89"/>
    </row>
    <row r="668">
      <c r="B668" s="89"/>
      <c r="C668" s="89"/>
      <c r="D668" s="89"/>
      <c r="E668" s="89"/>
    </row>
    <row r="669">
      <c r="B669" s="89"/>
      <c r="C669" s="89"/>
      <c r="D669" s="89"/>
      <c r="E669" s="89"/>
    </row>
    <row r="670">
      <c r="B670" s="89"/>
      <c r="C670" s="89"/>
      <c r="D670" s="89"/>
      <c r="E670" s="89"/>
    </row>
    <row r="671">
      <c r="B671" s="89"/>
      <c r="C671" s="89"/>
      <c r="D671" s="89"/>
      <c r="E671" s="89"/>
    </row>
    <row r="672">
      <c r="B672" s="89"/>
      <c r="C672" s="89"/>
      <c r="D672" s="89"/>
      <c r="E672" s="89"/>
    </row>
    <row r="673">
      <c r="B673" s="89"/>
      <c r="C673" s="89"/>
      <c r="D673" s="89"/>
      <c r="E673" s="89"/>
    </row>
    <row r="674">
      <c r="B674" s="89"/>
      <c r="C674" s="89"/>
      <c r="D674" s="89"/>
      <c r="E674" s="89"/>
    </row>
    <row r="675">
      <c r="B675" s="89"/>
      <c r="C675" s="89"/>
      <c r="D675" s="89"/>
      <c r="E675" s="89"/>
    </row>
    <row r="676">
      <c r="B676" s="89"/>
      <c r="C676" s="89"/>
      <c r="D676" s="89"/>
      <c r="E676" s="89"/>
    </row>
    <row r="677">
      <c r="B677" s="89"/>
      <c r="C677" s="89"/>
      <c r="D677" s="89"/>
      <c r="E677" s="89"/>
    </row>
    <row r="678">
      <c r="B678" s="89"/>
      <c r="C678" s="89"/>
      <c r="D678" s="89"/>
      <c r="E678" s="89"/>
    </row>
    <row r="679">
      <c r="B679" s="89"/>
      <c r="C679" s="89"/>
      <c r="D679" s="89"/>
      <c r="E679" s="89"/>
    </row>
    <row r="680">
      <c r="B680" s="89"/>
      <c r="C680" s="89"/>
      <c r="D680" s="89"/>
      <c r="E680" s="89"/>
    </row>
    <row r="681">
      <c r="B681" s="89"/>
      <c r="C681" s="89"/>
      <c r="D681" s="89"/>
      <c r="E681" s="89"/>
    </row>
    <row r="682">
      <c r="B682" s="89"/>
      <c r="C682" s="89"/>
      <c r="D682" s="89"/>
      <c r="E682" s="89"/>
    </row>
    <row r="683">
      <c r="B683" s="89"/>
      <c r="C683" s="89"/>
      <c r="D683" s="89"/>
      <c r="E683" s="89"/>
    </row>
    <row r="684">
      <c r="B684" s="89"/>
      <c r="C684" s="89"/>
      <c r="D684" s="89"/>
      <c r="E684" s="89"/>
    </row>
    <row r="685">
      <c r="B685" s="89"/>
      <c r="C685" s="89"/>
      <c r="D685" s="89"/>
      <c r="E685" s="89"/>
    </row>
    <row r="686">
      <c r="B686" s="89"/>
      <c r="C686" s="89"/>
      <c r="D686" s="89"/>
      <c r="E686" s="89"/>
    </row>
    <row r="687">
      <c r="B687" s="89"/>
      <c r="C687" s="89"/>
      <c r="D687" s="89"/>
      <c r="E687" s="89"/>
    </row>
    <row r="688">
      <c r="B688" s="89"/>
      <c r="C688" s="89"/>
      <c r="D688" s="89"/>
      <c r="E688" s="89"/>
    </row>
    <row r="689">
      <c r="B689" s="89"/>
      <c r="C689" s="89"/>
      <c r="D689" s="89"/>
      <c r="E689" s="89"/>
    </row>
    <row r="690">
      <c r="B690" s="89"/>
      <c r="C690" s="89"/>
      <c r="D690" s="89"/>
      <c r="E690" s="89"/>
    </row>
    <row r="691">
      <c r="B691" s="89"/>
      <c r="C691" s="89"/>
      <c r="D691" s="89"/>
      <c r="E691" s="89"/>
    </row>
    <row r="692">
      <c r="B692" s="89"/>
      <c r="C692" s="89"/>
      <c r="D692" s="89"/>
      <c r="E692" s="89"/>
    </row>
    <row r="693">
      <c r="B693" s="89"/>
      <c r="C693" s="89"/>
      <c r="D693" s="89"/>
      <c r="E693" s="89"/>
    </row>
    <row r="694">
      <c r="B694" s="89"/>
      <c r="C694" s="89"/>
      <c r="D694" s="89"/>
      <c r="E694" s="89"/>
    </row>
    <row r="695">
      <c r="B695" s="89"/>
      <c r="C695" s="89"/>
      <c r="D695" s="89"/>
      <c r="E695" s="89"/>
    </row>
    <row r="696">
      <c r="B696" s="89"/>
      <c r="C696" s="89"/>
      <c r="D696" s="89"/>
      <c r="E696" s="89"/>
    </row>
    <row r="697">
      <c r="B697" s="89"/>
      <c r="C697" s="89"/>
      <c r="D697" s="89"/>
      <c r="E697" s="89"/>
    </row>
    <row r="698">
      <c r="B698" s="89"/>
      <c r="C698" s="89"/>
      <c r="D698" s="89"/>
      <c r="E698" s="89"/>
    </row>
    <row r="699">
      <c r="B699" s="89"/>
      <c r="C699" s="89"/>
      <c r="D699" s="89"/>
      <c r="E699" s="89"/>
    </row>
    <row r="700">
      <c r="B700" s="89"/>
      <c r="C700" s="89"/>
      <c r="D700" s="89"/>
      <c r="E700" s="89"/>
    </row>
    <row r="701">
      <c r="B701" s="89"/>
      <c r="C701" s="89"/>
      <c r="D701" s="89"/>
      <c r="E701" s="89"/>
    </row>
    <row r="702">
      <c r="B702" s="89"/>
      <c r="C702" s="89"/>
      <c r="D702" s="89"/>
      <c r="E702" s="89"/>
    </row>
    <row r="703">
      <c r="B703" s="89"/>
      <c r="C703" s="89"/>
      <c r="D703" s="89"/>
      <c r="E703" s="89"/>
    </row>
    <row r="704">
      <c r="B704" s="89"/>
      <c r="C704" s="89"/>
      <c r="D704" s="89"/>
      <c r="E704" s="89"/>
    </row>
    <row r="705">
      <c r="B705" s="89"/>
      <c r="C705" s="89"/>
      <c r="D705" s="89"/>
      <c r="E705" s="89"/>
    </row>
    <row r="706">
      <c r="B706" s="89"/>
      <c r="C706" s="89"/>
      <c r="D706" s="89"/>
      <c r="E706" s="89"/>
    </row>
    <row r="707">
      <c r="B707" s="89"/>
      <c r="C707" s="89"/>
      <c r="D707" s="89"/>
      <c r="E707" s="89"/>
    </row>
    <row r="708">
      <c r="B708" s="89"/>
      <c r="C708" s="89"/>
      <c r="D708" s="89"/>
      <c r="E708" s="89"/>
    </row>
    <row r="709">
      <c r="B709" s="89"/>
      <c r="C709" s="89"/>
      <c r="D709" s="89"/>
      <c r="E709" s="89"/>
    </row>
    <row r="710">
      <c r="B710" s="89"/>
      <c r="C710" s="89"/>
      <c r="D710" s="89"/>
      <c r="E710" s="89"/>
    </row>
    <row r="711">
      <c r="B711" s="89"/>
      <c r="C711" s="89"/>
      <c r="D711" s="89"/>
      <c r="E711" s="89"/>
    </row>
    <row r="712">
      <c r="B712" s="89"/>
      <c r="C712" s="89"/>
      <c r="D712" s="89"/>
      <c r="E712" s="89"/>
    </row>
    <row r="713">
      <c r="B713" s="89"/>
      <c r="C713" s="89"/>
      <c r="D713" s="89"/>
      <c r="E713" s="89"/>
    </row>
    <row r="714">
      <c r="B714" s="89"/>
      <c r="C714" s="89"/>
      <c r="D714" s="89"/>
      <c r="E714" s="89"/>
    </row>
    <row r="715">
      <c r="B715" s="89"/>
      <c r="C715" s="89"/>
      <c r="D715" s="89"/>
      <c r="E715" s="89"/>
    </row>
    <row r="716">
      <c r="B716" s="89"/>
      <c r="C716" s="89"/>
      <c r="D716" s="89"/>
      <c r="E716" s="89"/>
    </row>
    <row r="717">
      <c r="B717" s="89"/>
      <c r="C717" s="89"/>
      <c r="D717" s="89"/>
      <c r="E717" s="89"/>
    </row>
    <row r="718">
      <c r="B718" s="89"/>
      <c r="C718" s="89"/>
      <c r="D718" s="89"/>
      <c r="E718" s="89"/>
    </row>
    <row r="719">
      <c r="B719" s="89"/>
      <c r="C719" s="89"/>
      <c r="D719" s="89"/>
      <c r="E719" s="89"/>
    </row>
    <row r="720">
      <c r="B720" s="89"/>
      <c r="C720" s="89"/>
      <c r="D720" s="89"/>
      <c r="E720" s="89"/>
    </row>
    <row r="721">
      <c r="B721" s="89"/>
      <c r="C721" s="89"/>
      <c r="D721" s="89"/>
      <c r="E721" s="89"/>
    </row>
    <row r="722">
      <c r="B722" s="89"/>
      <c r="C722" s="89"/>
      <c r="D722" s="89"/>
      <c r="E722" s="89"/>
    </row>
    <row r="723">
      <c r="B723" s="89"/>
      <c r="C723" s="89"/>
      <c r="D723" s="89"/>
      <c r="E723" s="89"/>
    </row>
    <row r="724">
      <c r="B724" s="89"/>
      <c r="C724" s="89"/>
      <c r="D724" s="89"/>
      <c r="E724" s="89"/>
    </row>
    <row r="725">
      <c r="B725" s="89"/>
      <c r="C725" s="89"/>
      <c r="D725" s="89"/>
      <c r="E725" s="89"/>
    </row>
    <row r="726">
      <c r="B726" s="89"/>
      <c r="C726" s="89"/>
      <c r="D726" s="89"/>
      <c r="E726" s="89"/>
    </row>
    <row r="727">
      <c r="B727" s="89"/>
      <c r="C727" s="89"/>
      <c r="D727" s="89"/>
      <c r="E727" s="89"/>
    </row>
    <row r="728">
      <c r="B728" s="89"/>
      <c r="C728" s="89"/>
      <c r="D728" s="89"/>
      <c r="E728" s="89"/>
    </row>
    <row r="729">
      <c r="B729" s="89"/>
      <c r="C729" s="89"/>
      <c r="D729" s="89"/>
      <c r="E729" s="89"/>
    </row>
    <row r="730">
      <c r="B730" s="89"/>
      <c r="C730" s="89"/>
      <c r="D730" s="89"/>
      <c r="E730" s="89"/>
    </row>
    <row r="731">
      <c r="B731" s="89"/>
      <c r="C731" s="89"/>
      <c r="D731" s="89"/>
      <c r="E731" s="89"/>
    </row>
    <row r="732">
      <c r="B732" s="89"/>
      <c r="C732" s="89"/>
      <c r="D732" s="89"/>
      <c r="E732" s="89"/>
    </row>
    <row r="733">
      <c r="B733" s="89"/>
      <c r="C733" s="89"/>
      <c r="D733" s="89"/>
      <c r="E733" s="89"/>
    </row>
    <row r="734">
      <c r="B734" s="89"/>
      <c r="C734" s="89"/>
      <c r="D734" s="89"/>
      <c r="E734" s="89"/>
    </row>
    <row r="735">
      <c r="B735" s="89"/>
      <c r="C735" s="89"/>
      <c r="D735" s="89"/>
      <c r="E735" s="89"/>
    </row>
    <row r="736">
      <c r="B736" s="89"/>
      <c r="C736" s="89"/>
      <c r="D736" s="89"/>
      <c r="E736" s="89"/>
    </row>
    <row r="737">
      <c r="B737" s="89"/>
      <c r="C737" s="89"/>
      <c r="D737" s="89"/>
      <c r="E737" s="89"/>
    </row>
    <row r="738">
      <c r="B738" s="89"/>
      <c r="C738" s="89"/>
      <c r="D738" s="89"/>
      <c r="E738" s="89"/>
    </row>
    <row r="739">
      <c r="B739" s="89"/>
      <c r="C739" s="89"/>
      <c r="D739" s="89"/>
      <c r="E739" s="89"/>
    </row>
    <row r="740">
      <c r="B740" s="89"/>
      <c r="C740" s="89"/>
      <c r="D740" s="89"/>
      <c r="E740" s="89"/>
    </row>
    <row r="741">
      <c r="B741" s="89"/>
      <c r="C741" s="89"/>
      <c r="D741" s="89"/>
      <c r="E741" s="89"/>
    </row>
    <row r="742">
      <c r="B742" s="89"/>
      <c r="C742" s="89"/>
      <c r="D742" s="89"/>
      <c r="E742" s="89"/>
    </row>
    <row r="743">
      <c r="B743" s="89"/>
      <c r="C743" s="89"/>
      <c r="D743" s="89"/>
      <c r="E743" s="89"/>
    </row>
    <row r="744">
      <c r="B744" s="89"/>
      <c r="C744" s="89"/>
      <c r="D744" s="89"/>
      <c r="E744" s="89"/>
    </row>
    <row r="745">
      <c r="B745" s="89"/>
      <c r="C745" s="89"/>
      <c r="D745" s="89"/>
      <c r="E745" s="89"/>
    </row>
    <row r="746">
      <c r="B746" s="89"/>
      <c r="C746" s="89"/>
      <c r="D746" s="89"/>
      <c r="E746" s="89"/>
    </row>
    <row r="747">
      <c r="B747" s="89"/>
      <c r="C747" s="89"/>
      <c r="D747" s="89"/>
      <c r="E747" s="89"/>
    </row>
    <row r="748">
      <c r="B748" s="89"/>
      <c r="C748" s="89"/>
      <c r="D748" s="89"/>
      <c r="E748" s="89"/>
    </row>
    <row r="749">
      <c r="B749" s="89"/>
      <c r="C749" s="89"/>
      <c r="D749" s="89"/>
      <c r="E749" s="89"/>
    </row>
    <row r="750">
      <c r="B750" s="89"/>
      <c r="C750" s="89"/>
      <c r="D750" s="89"/>
      <c r="E750" s="89"/>
    </row>
    <row r="751">
      <c r="B751" s="89"/>
      <c r="C751" s="89"/>
      <c r="D751" s="89"/>
      <c r="E751" s="89"/>
    </row>
    <row r="752">
      <c r="B752" s="89"/>
      <c r="C752" s="89"/>
      <c r="D752" s="89"/>
      <c r="E752" s="89"/>
    </row>
    <row r="753">
      <c r="B753" s="89"/>
      <c r="C753" s="89"/>
      <c r="D753" s="89"/>
      <c r="E753" s="89"/>
    </row>
    <row r="754">
      <c r="B754" s="89"/>
      <c r="C754" s="89"/>
      <c r="D754" s="89"/>
      <c r="E754" s="89"/>
    </row>
    <row r="755">
      <c r="B755" s="89"/>
      <c r="C755" s="89"/>
      <c r="D755" s="89"/>
      <c r="E755" s="89"/>
    </row>
    <row r="756">
      <c r="B756" s="89"/>
      <c r="C756" s="89"/>
      <c r="D756" s="89"/>
      <c r="E756" s="89"/>
    </row>
    <row r="757">
      <c r="B757" s="89"/>
      <c r="C757" s="89"/>
      <c r="D757" s="89"/>
      <c r="E757" s="89"/>
    </row>
    <row r="758">
      <c r="B758" s="89"/>
      <c r="C758" s="89"/>
      <c r="D758" s="89"/>
      <c r="E758" s="89"/>
    </row>
    <row r="759">
      <c r="B759" s="89"/>
      <c r="C759" s="89"/>
      <c r="D759" s="89"/>
      <c r="E759" s="89"/>
    </row>
    <row r="760">
      <c r="B760" s="89"/>
      <c r="C760" s="89"/>
      <c r="D760" s="89"/>
      <c r="E760" s="89"/>
    </row>
    <row r="761">
      <c r="B761" s="89"/>
      <c r="C761" s="89"/>
      <c r="D761" s="89"/>
      <c r="E761" s="89"/>
    </row>
    <row r="762">
      <c r="B762" s="89"/>
      <c r="C762" s="89"/>
      <c r="D762" s="89"/>
      <c r="E762" s="89"/>
    </row>
    <row r="763">
      <c r="B763" s="89"/>
      <c r="C763" s="89"/>
      <c r="D763" s="89"/>
      <c r="E763" s="89"/>
    </row>
    <row r="764">
      <c r="B764" s="89"/>
      <c r="C764" s="89"/>
      <c r="D764" s="89"/>
      <c r="E764" s="89"/>
    </row>
    <row r="765">
      <c r="B765" s="89"/>
      <c r="C765" s="89"/>
      <c r="D765" s="89"/>
      <c r="E765" s="89"/>
    </row>
    <row r="766">
      <c r="B766" s="89"/>
      <c r="C766" s="89"/>
      <c r="D766" s="89"/>
      <c r="E766" s="89"/>
    </row>
    <row r="767">
      <c r="B767" s="89"/>
      <c r="C767" s="89"/>
      <c r="D767" s="89"/>
      <c r="E767" s="89"/>
    </row>
    <row r="768">
      <c r="B768" s="89"/>
      <c r="C768" s="89"/>
      <c r="D768" s="89"/>
      <c r="E768" s="89"/>
    </row>
    <row r="769">
      <c r="B769" s="89"/>
      <c r="C769" s="89"/>
      <c r="D769" s="89"/>
      <c r="E769" s="89"/>
    </row>
    <row r="770">
      <c r="B770" s="89"/>
      <c r="C770" s="89"/>
      <c r="D770" s="89"/>
      <c r="E770" s="89"/>
    </row>
    <row r="771">
      <c r="B771" s="89"/>
      <c r="C771" s="89"/>
      <c r="D771" s="89"/>
      <c r="E771" s="89"/>
    </row>
    <row r="772">
      <c r="B772" s="89"/>
      <c r="C772" s="89"/>
      <c r="D772" s="89"/>
      <c r="E772" s="89"/>
    </row>
    <row r="773">
      <c r="B773" s="89"/>
      <c r="C773" s="89"/>
      <c r="D773" s="89"/>
      <c r="E773" s="89"/>
    </row>
    <row r="774">
      <c r="B774" s="89"/>
      <c r="C774" s="89"/>
      <c r="D774" s="89"/>
      <c r="E774" s="89"/>
    </row>
    <row r="775">
      <c r="B775" s="89"/>
      <c r="C775" s="89"/>
      <c r="D775" s="89"/>
      <c r="E775" s="89"/>
    </row>
    <row r="776">
      <c r="B776" s="89"/>
      <c r="C776" s="89"/>
      <c r="D776" s="89"/>
      <c r="E776" s="89"/>
    </row>
    <row r="777">
      <c r="B777" s="89"/>
      <c r="C777" s="89"/>
      <c r="D777" s="89"/>
      <c r="E777" s="89"/>
    </row>
    <row r="778">
      <c r="B778" s="89"/>
      <c r="C778" s="89"/>
      <c r="D778" s="89"/>
      <c r="E778" s="89"/>
    </row>
    <row r="779">
      <c r="B779" s="89"/>
      <c r="C779" s="89"/>
      <c r="D779" s="89"/>
      <c r="E779" s="89"/>
    </row>
    <row r="780">
      <c r="B780" s="89"/>
      <c r="C780" s="89"/>
      <c r="D780" s="89"/>
      <c r="E780" s="89"/>
    </row>
    <row r="781">
      <c r="B781" s="89"/>
      <c r="C781" s="89"/>
      <c r="D781" s="89"/>
      <c r="E781" s="89"/>
    </row>
    <row r="782">
      <c r="B782" s="89"/>
      <c r="C782" s="89"/>
      <c r="D782" s="89"/>
      <c r="E782" s="89"/>
    </row>
    <row r="783">
      <c r="B783" s="89"/>
      <c r="C783" s="89"/>
      <c r="D783" s="89"/>
      <c r="E783" s="89"/>
    </row>
    <row r="784">
      <c r="B784" s="89"/>
      <c r="C784" s="89"/>
      <c r="D784" s="89"/>
      <c r="E784" s="89"/>
    </row>
    <row r="785">
      <c r="B785" s="89"/>
      <c r="C785" s="89"/>
      <c r="D785" s="89"/>
      <c r="E785" s="89"/>
    </row>
    <row r="786">
      <c r="B786" s="89"/>
      <c r="C786" s="89"/>
      <c r="D786" s="89"/>
      <c r="E786" s="89"/>
    </row>
    <row r="787">
      <c r="B787" s="89"/>
      <c r="C787" s="89"/>
      <c r="D787" s="89"/>
      <c r="E787" s="89"/>
    </row>
    <row r="788">
      <c r="B788" s="89"/>
      <c r="C788" s="89"/>
      <c r="D788" s="89"/>
      <c r="E788" s="89"/>
    </row>
    <row r="789">
      <c r="B789" s="89"/>
      <c r="C789" s="89"/>
      <c r="D789" s="89"/>
      <c r="E789" s="89"/>
    </row>
    <row r="790">
      <c r="B790" s="89"/>
      <c r="C790" s="89"/>
      <c r="D790" s="89"/>
      <c r="E790" s="89"/>
    </row>
    <row r="791">
      <c r="B791" s="89"/>
      <c r="C791" s="89"/>
      <c r="D791" s="89"/>
      <c r="E791" s="89"/>
    </row>
    <row r="792">
      <c r="B792" s="89"/>
      <c r="C792" s="89"/>
      <c r="D792" s="89"/>
      <c r="E792" s="89"/>
    </row>
    <row r="793">
      <c r="B793" s="89"/>
      <c r="C793" s="89"/>
      <c r="D793" s="89"/>
      <c r="E793" s="89"/>
    </row>
    <row r="794">
      <c r="B794" s="89"/>
      <c r="C794" s="89"/>
      <c r="D794" s="89"/>
      <c r="E794" s="89"/>
    </row>
    <row r="795">
      <c r="B795" s="89"/>
      <c r="C795" s="89"/>
      <c r="D795" s="89"/>
      <c r="E795" s="89"/>
    </row>
    <row r="796">
      <c r="B796" s="89"/>
      <c r="C796" s="89"/>
      <c r="D796" s="89"/>
      <c r="E796" s="89"/>
    </row>
    <row r="797">
      <c r="B797" s="89"/>
      <c r="C797" s="89"/>
      <c r="D797" s="89"/>
      <c r="E797" s="89"/>
    </row>
    <row r="798">
      <c r="B798" s="89"/>
      <c r="C798" s="89"/>
      <c r="D798" s="89"/>
      <c r="E798" s="89"/>
    </row>
    <row r="799">
      <c r="B799" s="89"/>
      <c r="C799" s="89"/>
      <c r="D799" s="89"/>
      <c r="E799" s="89"/>
    </row>
    <row r="800">
      <c r="B800" s="89"/>
      <c r="C800" s="89"/>
      <c r="D800" s="89"/>
      <c r="E800" s="89"/>
    </row>
    <row r="801">
      <c r="B801" s="89"/>
      <c r="C801" s="89"/>
      <c r="D801" s="89"/>
      <c r="E801" s="89"/>
    </row>
    <row r="802">
      <c r="B802" s="89"/>
      <c r="C802" s="89"/>
      <c r="D802" s="89"/>
      <c r="E802" s="89"/>
    </row>
    <row r="803">
      <c r="B803" s="89"/>
      <c r="C803" s="89"/>
      <c r="D803" s="89"/>
      <c r="E803" s="89"/>
    </row>
    <row r="804">
      <c r="B804" s="89"/>
      <c r="C804" s="89"/>
      <c r="D804" s="89"/>
      <c r="E804" s="89"/>
    </row>
    <row r="805">
      <c r="B805" s="89"/>
      <c r="C805" s="89"/>
      <c r="D805" s="89"/>
      <c r="E805" s="89"/>
    </row>
    <row r="806">
      <c r="B806" s="89"/>
      <c r="C806" s="89"/>
      <c r="D806" s="89"/>
      <c r="E806" s="89"/>
    </row>
    <row r="807">
      <c r="B807" s="89"/>
      <c r="C807" s="89"/>
      <c r="D807" s="89"/>
      <c r="E807" s="89"/>
    </row>
    <row r="808">
      <c r="B808" s="89"/>
      <c r="C808" s="89"/>
      <c r="D808" s="89"/>
      <c r="E808" s="89"/>
    </row>
    <row r="809">
      <c r="B809" s="89"/>
      <c r="C809" s="89"/>
      <c r="D809" s="89"/>
      <c r="E809" s="89"/>
    </row>
    <row r="810">
      <c r="B810" s="89"/>
      <c r="C810" s="89"/>
      <c r="D810" s="89"/>
      <c r="E810" s="89"/>
    </row>
    <row r="811">
      <c r="B811" s="89"/>
      <c r="C811" s="89"/>
      <c r="D811" s="89"/>
      <c r="E811" s="89"/>
    </row>
    <row r="812">
      <c r="B812" s="89"/>
      <c r="C812" s="89"/>
      <c r="D812" s="89"/>
      <c r="E812" s="89"/>
    </row>
    <row r="813">
      <c r="B813" s="89"/>
      <c r="C813" s="89"/>
      <c r="D813" s="89"/>
      <c r="E813" s="89"/>
    </row>
    <row r="814">
      <c r="B814" s="89"/>
      <c r="C814" s="89"/>
      <c r="D814" s="89"/>
      <c r="E814" s="89"/>
    </row>
    <row r="815">
      <c r="B815" s="89"/>
      <c r="C815" s="89"/>
      <c r="D815" s="89"/>
      <c r="E815" s="89"/>
    </row>
    <row r="816">
      <c r="B816" s="89"/>
      <c r="C816" s="89"/>
      <c r="D816" s="89"/>
      <c r="E816" s="89"/>
    </row>
    <row r="817">
      <c r="B817" s="89"/>
      <c r="C817" s="89"/>
      <c r="D817" s="89"/>
      <c r="E817" s="89"/>
    </row>
    <row r="818">
      <c r="B818" s="89"/>
      <c r="C818" s="89"/>
      <c r="D818" s="89"/>
      <c r="E818" s="89"/>
    </row>
    <row r="819">
      <c r="B819" s="89"/>
      <c r="C819" s="89"/>
      <c r="D819" s="89"/>
      <c r="E819" s="89"/>
    </row>
    <row r="820">
      <c r="B820" s="89"/>
      <c r="C820" s="89"/>
      <c r="D820" s="89"/>
      <c r="E820" s="89"/>
    </row>
    <row r="821">
      <c r="B821" s="89"/>
      <c r="C821" s="89"/>
      <c r="D821" s="89"/>
      <c r="E821" s="89"/>
    </row>
    <row r="822">
      <c r="B822" s="89"/>
      <c r="C822" s="89"/>
      <c r="D822" s="89"/>
      <c r="E822" s="89"/>
    </row>
    <row r="823">
      <c r="B823" s="89"/>
      <c r="C823" s="89"/>
      <c r="D823" s="89"/>
      <c r="E823" s="89"/>
    </row>
    <row r="824">
      <c r="B824" s="89"/>
      <c r="C824" s="89"/>
      <c r="D824" s="89"/>
      <c r="E824" s="89"/>
    </row>
    <row r="825">
      <c r="B825" s="89"/>
      <c r="C825" s="89"/>
      <c r="D825" s="89"/>
      <c r="E825" s="89"/>
    </row>
    <row r="826">
      <c r="B826" s="89"/>
      <c r="C826" s="89"/>
      <c r="D826" s="89"/>
      <c r="E826" s="89"/>
    </row>
    <row r="827">
      <c r="B827" s="89"/>
      <c r="C827" s="89"/>
      <c r="D827" s="89"/>
      <c r="E827" s="89"/>
    </row>
    <row r="828">
      <c r="B828" s="89"/>
      <c r="C828" s="89"/>
      <c r="D828" s="89"/>
      <c r="E828" s="89"/>
    </row>
    <row r="829">
      <c r="B829" s="89"/>
      <c r="C829" s="89"/>
      <c r="D829" s="89"/>
      <c r="E829" s="89"/>
    </row>
    <row r="830">
      <c r="B830" s="89"/>
      <c r="C830" s="89"/>
      <c r="D830" s="89"/>
      <c r="E830" s="89"/>
    </row>
    <row r="831">
      <c r="B831" s="89"/>
      <c r="C831" s="89"/>
      <c r="D831" s="89"/>
      <c r="E831" s="89"/>
    </row>
    <row r="832">
      <c r="B832" s="89"/>
      <c r="C832" s="89"/>
      <c r="D832" s="89"/>
      <c r="E832" s="89"/>
    </row>
    <row r="833">
      <c r="B833" s="89"/>
      <c r="C833" s="89"/>
      <c r="D833" s="89"/>
      <c r="E833" s="89"/>
    </row>
    <row r="834">
      <c r="B834" s="89"/>
      <c r="C834" s="89"/>
      <c r="D834" s="89"/>
      <c r="E834" s="89"/>
    </row>
    <row r="835">
      <c r="B835" s="89"/>
      <c r="C835" s="89"/>
      <c r="D835" s="89"/>
      <c r="E835" s="89"/>
    </row>
    <row r="836">
      <c r="B836" s="89"/>
      <c r="C836" s="89"/>
      <c r="D836" s="89"/>
      <c r="E836" s="89"/>
    </row>
    <row r="837">
      <c r="B837" s="89"/>
      <c r="C837" s="89"/>
      <c r="D837" s="89"/>
      <c r="E837" s="89"/>
    </row>
    <row r="838">
      <c r="B838" s="89"/>
      <c r="C838" s="89"/>
      <c r="D838" s="89"/>
      <c r="E838" s="89"/>
    </row>
    <row r="839">
      <c r="B839" s="89"/>
      <c r="C839" s="89"/>
      <c r="D839" s="89"/>
      <c r="E839" s="89"/>
    </row>
    <row r="840">
      <c r="B840" s="89"/>
      <c r="C840" s="89"/>
      <c r="D840" s="89"/>
      <c r="E840" s="89"/>
    </row>
    <row r="841">
      <c r="B841" s="89"/>
      <c r="C841" s="89"/>
      <c r="D841" s="89"/>
      <c r="E841" s="89"/>
    </row>
    <row r="842">
      <c r="B842" s="89"/>
      <c r="C842" s="89"/>
      <c r="D842" s="89"/>
      <c r="E842" s="89"/>
    </row>
    <row r="843">
      <c r="B843" s="89"/>
      <c r="C843" s="89"/>
      <c r="D843" s="89"/>
      <c r="E843" s="89"/>
    </row>
    <row r="844">
      <c r="B844" s="89"/>
      <c r="C844" s="89"/>
      <c r="D844" s="89"/>
      <c r="E844" s="89"/>
    </row>
    <row r="845">
      <c r="B845" s="89"/>
      <c r="C845" s="89"/>
      <c r="D845" s="89"/>
      <c r="E845" s="89"/>
    </row>
    <row r="846">
      <c r="B846" s="89"/>
      <c r="C846" s="89"/>
      <c r="D846" s="89"/>
      <c r="E846" s="89"/>
    </row>
    <row r="847">
      <c r="B847" s="89"/>
      <c r="C847" s="89"/>
      <c r="D847" s="89"/>
      <c r="E847" s="89"/>
    </row>
    <row r="848">
      <c r="B848" s="89"/>
      <c r="C848" s="89"/>
      <c r="D848" s="89"/>
      <c r="E848" s="89"/>
    </row>
    <row r="849">
      <c r="B849" s="89"/>
      <c r="C849" s="89"/>
      <c r="D849" s="89"/>
      <c r="E849" s="89"/>
    </row>
    <row r="850">
      <c r="B850" s="89"/>
      <c r="C850" s="89"/>
      <c r="D850" s="89"/>
      <c r="E850" s="89"/>
    </row>
    <row r="851">
      <c r="B851" s="89"/>
      <c r="C851" s="89"/>
      <c r="D851" s="89"/>
      <c r="E851" s="89"/>
    </row>
    <row r="852">
      <c r="B852" s="89"/>
      <c r="C852" s="89"/>
      <c r="D852" s="89"/>
      <c r="E852" s="89"/>
    </row>
    <row r="853">
      <c r="B853" s="89"/>
      <c r="C853" s="89"/>
      <c r="D853" s="89"/>
      <c r="E853" s="89"/>
    </row>
    <row r="854">
      <c r="B854" s="89"/>
      <c r="C854" s="89"/>
      <c r="D854" s="89"/>
      <c r="E854" s="89"/>
    </row>
    <row r="855">
      <c r="B855" s="89"/>
      <c r="C855" s="89"/>
      <c r="D855" s="89"/>
      <c r="E855" s="89"/>
    </row>
    <row r="856">
      <c r="B856" s="89"/>
      <c r="C856" s="89"/>
      <c r="D856" s="89"/>
      <c r="E856" s="89"/>
    </row>
    <row r="857">
      <c r="B857" s="89"/>
      <c r="C857" s="89"/>
      <c r="D857" s="89"/>
      <c r="E857" s="89"/>
    </row>
    <row r="858">
      <c r="B858" s="89"/>
      <c r="C858" s="89"/>
      <c r="D858" s="89"/>
      <c r="E858" s="89"/>
    </row>
    <row r="859">
      <c r="B859" s="89"/>
      <c r="C859" s="89"/>
      <c r="D859" s="89"/>
      <c r="E859" s="89"/>
    </row>
    <row r="860">
      <c r="B860" s="89"/>
      <c r="C860" s="89"/>
      <c r="D860" s="89"/>
      <c r="E860" s="89"/>
    </row>
    <row r="861">
      <c r="B861" s="89"/>
      <c r="C861" s="89"/>
      <c r="D861" s="89"/>
      <c r="E861" s="89"/>
    </row>
    <row r="862">
      <c r="B862" s="89"/>
      <c r="C862" s="89"/>
      <c r="D862" s="89"/>
      <c r="E862" s="89"/>
    </row>
    <row r="863">
      <c r="B863" s="89"/>
      <c r="C863" s="89"/>
      <c r="D863" s="89"/>
      <c r="E863" s="89"/>
    </row>
    <row r="864">
      <c r="B864" s="89"/>
      <c r="C864" s="89"/>
      <c r="D864" s="89"/>
      <c r="E864" s="89"/>
    </row>
    <row r="865">
      <c r="B865" s="89"/>
      <c r="C865" s="89"/>
      <c r="D865" s="89"/>
      <c r="E865" s="89"/>
    </row>
    <row r="866">
      <c r="B866" s="89"/>
      <c r="C866" s="89"/>
      <c r="D866" s="89"/>
      <c r="E866" s="89"/>
    </row>
    <row r="867">
      <c r="B867" s="89"/>
      <c r="C867" s="89"/>
      <c r="D867" s="89"/>
      <c r="E867" s="89"/>
    </row>
    <row r="868">
      <c r="B868" s="89"/>
      <c r="C868" s="89"/>
      <c r="D868" s="89"/>
      <c r="E868" s="89"/>
    </row>
    <row r="869">
      <c r="B869" s="89"/>
      <c r="C869" s="89"/>
      <c r="D869" s="89"/>
      <c r="E869" s="89"/>
    </row>
    <row r="870">
      <c r="B870" s="89"/>
      <c r="C870" s="89"/>
      <c r="D870" s="89"/>
      <c r="E870" s="89"/>
    </row>
    <row r="871">
      <c r="B871" s="89"/>
      <c r="C871" s="89"/>
      <c r="D871" s="89"/>
      <c r="E871" s="89"/>
    </row>
    <row r="872">
      <c r="B872" s="89"/>
      <c r="C872" s="89"/>
      <c r="D872" s="89"/>
      <c r="E872" s="89"/>
    </row>
    <row r="873">
      <c r="B873" s="89"/>
      <c r="C873" s="89"/>
      <c r="D873" s="89"/>
      <c r="E873" s="89"/>
    </row>
    <row r="874">
      <c r="B874" s="89"/>
      <c r="C874" s="89"/>
      <c r="D874" s="89"/>
      <c r="E874" s="89"/>
    </row>
    <row r="875">
      <c r="B875" s="89"/>
      <c r="C875" s="89"/>
      <c r="D875" s="89"/>
      <c r="E875" s="89"/>
    </row>
    <row r="876">
      <c r="B876" s="89"/>
      <c r="C876" s="89"/>
      <c r="D876" s="89"/>
      <c r="E876" s="89"/>
    </row>
    <row r="877">
      <c r="B877" s="89"/>
      <c r="C877" s="89"/>
      <c r="D877" s="89"/>
      <c r="E877" s="89"/>
    </row>
    <row r="878">
      <c r="B878" s="89"/>
      <c r="C878" s="89"/>
      <c r="D878" s="89"/>
      <c r="E878" s="89"/>
    </row>
    <row r="879">
      <c r="B879" s="89"/>
      <c r="C879" s="89"/>
      <c r="D879" s="89"/>
      <c r="E879" s="89"/>
    </row>
    <row r="880">
      <c r="B880" s="89"/>
      <c r="C880" s="89"/>
      <c r="D880" s="89"/>
      <c r="E880" s="89"/>
    </row>
    <row r="881">
      <c r="B881" s="89"/>
      <c r="C881" s="89"/>
      <c r="D881" s="89"/>
      <c r="E881" s="89"/>
    </row>
    <row r="882">
      <c r="B882" s="89"/>
      <c r="C882" s="89"/>
      <c r="D882" s="89"/>
      <c r="E882" s="89"/>
    </row>
    <row r="883">
      <c r="B883" s="89"/>
      <c r="C883" s="89"/>
      <c r="D883" s="89"/>
      <c r="E883" s="89"/>
    </row>
    <row r="884">
      <c r="B884" s="89"/>
      <c r="C884" s="89"/>
      <c r="D884" s="89"/>
      <c r="E884" s="89"/>
    </row>
    <row r="885">
      <c r="B885" s="89"/>
      <c r="C885" s="89"/>
      <c r="D885" s="89"/>
      <c r="E885" s="89"/>
    </row>
    <row r="886">
      <c r="B886" s="89"/>
      <c r="C886" s="89"/>
      <c r="D886" s="89"/>
      <c r="E886" s="89"/>
    </row>
    <row r="887">
      <c r="B887" s="89"/>
      <c r="C887" s="89"/>
      <c r="D887" s="89"/>
      <c r="E887" s="89"/>
    </row>
    <row r="888">
      <c r="B888" s="89"/>
      <c r="C888" s="89"/>
      <c r="D888" s="89"/>
      <c r="E888" s="89"/>
    </row>
    <row r="889">
      <c r="B889" s="89"/>
      <c r="C889" s="89"/>
      <c r="D889" s="89"/>
      <c r="E889" s="89"/>
    </row>
    <row r="890">
      <c r="B890" s="89"/>
      <c r="C890" s="89"/>
      <c r="D890" s="89"/>
      <c r="E890" s="89"/>
    </row>
    <row r="891">
      <c r="B891" s="89"/>
      <c r="C891" s="89"/>
      <c r="D891" s="89"/>
      <c r="E891" s="89"/>
    </row>
    <row r="892">
      <c r="B892" s="89"/>
      <c r="C892" s="89"/>
      <c r="D892" s="89"/>
      <c r="E892" s="89"/>
    </row>
    <row r="893">
      <c r="B893" s="89"/>
      <c r="C893" s="89"/>
      <c r="D893" s="89"/>
      <c r="E893" s="89"/>
    </row>
    <row r="894">
      <c r="B894" s="89"/>
      <c r="C894" s="89"/>
      <c r="D894" s="89"/>
      <c r="E894" s="89"/>
    </row>
    <row r="895">
      <c r="B895" s="89"/>
      <c r="C895" s="89"/>
      <c r="D895" s="89"/>
      <c r="E895" s="89"/>
    </row>
    <row r="896">
      <c r="B896" s="89"/>
      <c r="C896" s="89"/>
      <c r="D896" s="89"/>
      <c r="E896" s="89"/>
    </row>
    <row r="897">
      <c r="B897" s="89"/>
      <c r="C897" s="89"/>
      <c r="D897" s="89"/>
      <c r="E897" s="89"/>
    </row>
    <row r="898">
      <c r="B898" s="89"/>
      <c r="C898" s="89"/>
      <c r="D898" s="89"/>
      <c r="E898" s="89"/>
    </row>
    <row r="899">
      <c r="B899" s="89"/>
      <c r="C899" s="89"/>
      <c r="D899" s="89"/>
      <c r="E899" s="89"/>
    </row>
    <row r="900">
      <c r="B900" s="89"/>
      <c r="C900" s="89"/>
      <c r="D900" s="89"/>
      <c r="E900" s="89"/>
    </row>
    <row r="901">
      <c r="B901" s="89"/>
      <c r="C901" s="89"/>
      <c r="D901" s="89"/>
      <c r="E901" s="89"/>
    </row>
    <row r="902">
      <c r="B902" s="89"/>
      <c r="C902" s="89"/>
      <c r="D902" s="89"/>
      <c r="E902" s="89"/>
    </row>
    <row r="903">
      <c r="B903" s="89"/>
      <c r="C903" s="89"/>
      <c r="D903" s="89"/>
      <c r="E903" s="89"/>
    </row>
    <row r="904">
      <c r="B904" s="89"/>
      <c r="C904" s="89"/>
      <c r="D904" s="89"/>
      <c r="E904" s="89"/>
    </row>
    <row r="905">
      <c r="B905" s="89"/>
      <c r="C905" s="89"/>
      <c r="D905" s="89"/>
      <c r="E905" s="89"/>
    </row>
    <row r="906">
      <c r="B906" s="89"/>
      <c r="C906" s="89"/>
      <c r="D906" s="89"/>
      <c r="E906" s="89"/>
    </row>
    <row r="907">
      <c r="B907" s="89"/>
      <c r="C907" s="89"/>
      <c r="D907" s="89"/>
      <c r="E907" s="89"/>
    </row>
    <row r="908">
      <c r="B908" s="89"/>
      <c r="C908" s="89"/>
      <c r="D908" s="89"/>
      <c r="E908" s="89"/>
    </row>
    <row r="909">
      <c r="B909" s="89"/>
      <c r="C909" s="89"/>
      <c r="D909" s="89"/>
      <c r="E909" s="89"/>
    </row>
    <row r="910">
      <c r="B910" s="89"/>
      <c r="C910" s="89"/>
      <c r="D910" s="89"/>
      <c r="E910" s="89"/>
    </row>
    <row r="911">
      <c r="B911" s="89"/>
      <c r="C911" s="89"/>
      <c r="D911" s="89"/>
      <c r="E911" s="89"/>
    </row>
    <row r="912">
      <c r="B912" s="89"/>
      <c r="C912" s="89"/>
      <c r="D912" s="89"/>
      <c r="E912" s="89"/>
    </row>
    <row r="913">
      <c r="B913" s="89"/>
      <c r="C913" s="89"/>
      <c r="D913" s="89"/>
      <c r="E913" s="89"/>
    </row>
    <row r="914">
      <c r="B914" s="89"/>
      <c r="C914" s="89"/>
      <c r="D914" s="89"/>
      <c r="E914" s="89"/>
    </row>
    <row r="915">
      <c r="B915" s="89"/>
      <c r="C915" s="89"/>
      <c r="D915" s="89"/>
      <c r="E915" s="89"/>
    </row>
    <row r="916">
      <c r="B916" s="89"/>
      <c r="C916" s="89"/>
      <c r="D916" s="89"/>
      <c r="E916" s="89"/>
    </row>
    <row r="917">
      <c r="B917" s="89"/>
      <c r="C917" s="89"/>
      <c r="D917" s="89"/>
      <c r="E917" s="89"/>
    </row>
    <row r="918">
      <c r="B918" s="89"/>
      <c r="C918" s="89"/>
      <c r="D918" s="89"/>
      <c r="E918" s="89"/>
    </row>
    <row r="919">
      <c r="B919" s="89"/>
      <c r="C919" s="89"/>
      <c r="D919" s="89"/>
      <c r="E919" s="89"/>
    </row>
    <row r="920">
      <c r="B920" s="89"/>
      <c r="C920" s="89"/>
      <c r="D920" s="89"/>
      <c r="E920" s="89"/>
    </row>
    <row r="921">
      <c r="B921" s="89"/>
      <c r="C921" s="89"/>
      <c r="D921" s="89"/>
      <c r="E921" s="89"/>
    </row>
    <row r="922">
      <c r="B922" s="89"/>
      <c r="C922" s="89"/>
      <c r="D922" s="89"/>
      <c r="E922" s="89"/>
    </row>
    <row r="923">
      <c r="B923" s="89"/>
      <c r="C923" s="89"/>
      <c r="D923" s="89"/>
      <c r="E923" s="89"/>
    </row>
    <row r="924">
      <c r="B924" s="89"/>
      <c r="C924" s="89"/>
      <c r="D924" s="89"/>
      <c r="E924" s="89"/>
    </row>
    <row r="925">
      <c r="B925" s="89"/>
      <c r="C925" s="89"/>
      <c r="D925" s="89"/>
      <c r="E925" s="89"/>
    </row>
    <row r="926">
      <c r="B926" s="89"/>
      <c r="C926" s="89"/>
      <c r="D926" s="89"/>
      <c r="E926" s="89"/>
    </row>
    <row r="927">
      <c r="B927" s="89"/>
      <c r="C927" s="89"/>
      <c r="D927" s="89"/>
      <c r="E927" s="89"/>
    </row>
    <row r="928">
      <c r="B928" s="89"/>
      <c r="C928" s="89"/>
      <c r="D928" s="89"/>
      <c r="E928" s="89"/>
    </row>
    <row r="929">
      <c r="B929" s="89"/>
      <c r="C929" s="89"/>
      <c r="D929" s="89"/>
      <c r="E929" s="89"/>
    </row>
    <row r="930">
      <c r="B930" s="89"/>
      <c r="C930" s="89"/>
      <c r="D930" s="89"/>
      <c r="E930" s="89"/>
    </row>
    <row r="931">
      <c r="B931" s="89"/>
      <c r="C931" s="89"/>
      <c r="D931" s="89"/>
      <c r="E931" s="89"/>
    </row>
    <row r="932">
      <c r="B932" s="89"/>
      <c r="C932" s="89"/>
      <c r="D932" s="89"/>
      <c r="E932" s="89"/>
    </row>
    <row r="933">
      <c r="B933" s="89"/>
      <c r="C933" s="89"/>
      <c r="D933" s="89"/>
      <c r="E933" s="89"/>
    </row>
    <row r="934">
      <c r="B934" s="89"/>
      <c r="C934" s="89"/>
      <c r="D934" s="89"/>
      <c r="E934" s="89"/>
    </row>
    <row r="935">
      <c r="B935" s="89"/>
      <c r="C935" s="89"/>
      <c r="D935" s="89"/>
      <c r="E935" s="89"/>
    </row>
    <row r="936">
      <c r="B936" s="89"/>
      <c r="C936" s="89"/>
      <c r="D936" s="89"/>
      <c r="E936" s="89"/>
    </row>
    <row r="937">
      <c r="B937" s="89"/>
      <c r="C937" s="89"/>
      <c r="D937" s="89"/>
      <c r="E937" s="89"/>
    </row>
    <row r="938">
      <c r="B938" s="89"/>
      <c r="C938" s="89"/>
      <c r="D938" s="89"/>
      <c r="E938" s="89"/>
    </row>
    <row r="939">
      <c r="B939" s="89"/>
      <c r="C939" s="89"/>
      <c r="D939" s="89"/>
      <c r="E939" s="89"/>
    </row>
    <row r="940">
      <c r="B940" s="89"/>
      <c r="C940" s="89"/>
      <c r="D940" s="89"/>
      <c r="E940" s="89"/>
    </row>
    <row r="941">
      <c r="B941" s="89"/>
      <c r="C941" s="89"/>
      <c r="D941" s="89"/>
      <c r="E941" s="89"/>
    </row>
    <row r="942">
      <c r="B942" s="89"/>
      <c r="C942" s="89"/>
      <c r="D942" s="89"/>
      <c r="E942" s="89"/>
    </row>
    <row r="943">
      <c r="B943" s="89"/>
      <c r="C943" s="89"/>
      <c r="D943" s="89"/>
      <c r="E943" s="89"/>
    </row>
    <row r="944">
      <c r="B944" s="89"/>
      <c r="C944" s="89"/>
      <c r="D944" s="89"/>
      <c r="E944" s="89"/>
    </row>
    <row r="945">
      <c r="B945" s="89"/>
      <c r="C945" s="89"/>
      <c r="D945" s="89"/>
      <c r="E945" s="89"/>
    </row>
    <row r="946">
      <c r="B946" s="89"/>
      <c r="C946" s="89"/>
      <c r="D946" s="89"/>
      <c r="E946" s="89"/>
    </row>
    <row r="947">
      <c r="B947" s="89"/>
      <c r="C947" s="89"/>
      <c r="D947" s="89"/>
      <c r="E947" s="89"/>
    </row>
    <row r="948">
      <c r="B948" s="89"/>
      <c r="C948" s="89"/>
      <c r="D948" s="89"/>
      <c r="E948" s="89"/>
    </row>
    <row r="949">
      <c r="B949" s="89"/>
      <c r="C949" s="89"/>
      <c r="D949" s="89"/>
      <c r="E949" s="89"/>
    </row>
    <row r="950">
      <c r="B950" s="89"/>
      <c r="C950" s="89"/>
      <c r="D950" s="89"/>
      <c r="E950" s="89"/>
    </row>
    <row r="951">
      <c r="B951" s="89"/>
      <c r="C951" s="89"/>
      <c r="D951" s="89"/>
      <c r="E951" s="89"/>
    </row>
    <row r="952">
      <c r="B952" s="89"/>
      <c r="C952" s="89"/>
      <c r="D952" s="89"/>
      <c r="E952" s="89"/>
    </row>
    <row r="953">
      <c r="B953" s="89"/>
      <c r="C953" s="89"/>
      <c r="D953" s="89"/>
      <c r="E953" s="89"/>
    </row>
    <row r="954">
      <c r="B954" s="89"/>
      <c r="C954" s="89"/>
      <c r="D954" s="89"/>
      <c r="E954" s="89"/>
    </row>
    <row r="955">
      <c r="B955" s="89"/>
      <c r="C955" s="89"/>
      <c r="D955" s="89"/>
      <c r="E955" s="89"/>
    </row>
    <row r="956">
      <c r="B956" s="89"/>
      <c r="C956" s="89"/>
      <c r="D956" s="89"/>
      <c r="E956" s="89"/>
    </row>
    <row r="957">
      <c r="B957" s="89"/>
      <c r="C957" s="89"/>
      <c r="D957" s="89"/>
      <c r="E957" s="89"/>
    </row>
    <row r="958">
      <c r="B958" s="89"/>
      <c r="C958" s="89"/>
      <c r="D958" s="89"/>
      <c r="E958" s="89"/>
    </row>
    <row r="959">
      <c r="B959" s="89"/>
      <c r="C959" s="89"/>
      <c r="D959" s="89"/>
      <c r="E959" s="89"/>
    </row>
    <row r="960">
      <c r="B960" s="89"/>
      <c r="C960" s="89"/>
      <c r="D960" s="89"/>
      <c r="E960" s="89"/>
    </row>
    <row r="961">
      <c r="B961" s="89"/>
      <c r="C961" s="89"/>
      <c r="D961" s="89"/>
      <c r="E961" s="89"/>
    </row>
    <row r="962">
      <c r="B962" s="89"/>
      <c r="C962" s="89"/>
      <c r="D962" s="89"/>
      <c r="E962" s="89"/>
    </row>
    <row r="963">
      <c r="B963" s="89"/>
      <c r="C963" s="89"/>
      <c r="D963" s="89"/>
      <c r="E963" s="89"/>
    </row>
    <row r="964">
      <c r="B964" s="89"/>
      <c r="C964" s="89"/>
      <c r="D964" s="89"/>
      <c r="E964" s="89"/>
    </row>
    <row r="965">
      <c r="B965" s="89"/>
      <c r="C965" s="89"/>
      <c r="D965" s="89"/>
      <c r="E965" s="89"/>
    </row>
    <row r="966">
      <c r="B966" s="89"/>
      <c r="C966" s="89"/>
      <c r="D966" s="89"/>
      <c r="E966" s="89"/>
    </row>
    <row r="967">
      <c r="B967" s="89"/>
      <c r="C967" s="89"/>
      <c r="D967" s="89"/>
      <c r="E967" s="89"/>
    </row>
    <row r="968">
      <c r="B968" s="89"/>
      <c r="C968" s="89"/>
      <c r="D968" s="89"/>
      <c r="E968" s="89"/>
    </row>
    <row r="969">
      <c r="B969" s="89"/>
      <c r="C969" s="89"/>
      <c r="D969" s="89"/>
      <c r="E969" s="89"/>
    </row>
    <row r="970">
      <c r="B970" s="89"/>
      <c r="C970" s="89"/>
      <c r="D970" s="89"/>
      <c r="E970" s="89"/>
    </row>
    <row r="971">
      <c r="B971" s="89"/>
      <c r="C971" s="89"/>
      <c r="D971" s="89"/>
      <c r="E971" s="89"/>
    </row>
    <row r="972">
      <c r="B972" s="89"/>
      <c r="C972" s="89"/>
      <c r="D972" s="89"/>
      <c r="E972" s="89"/>
    </row>
    <row r="973">
      <c r="B973" s="89"/>
      <c r="C973" s="89"/>
      <c r="D973" s="89"/>
      <c r="E973" s="89"/>
    </row>
    <row r="974">
      <c r="B974" s="89"/>
      <c r="C974" s="89"/>
      <c r="D974" s="89"/>
      <c r="E974" s="89"/>
    </row>
    <row r="975">
      <c r="B975" s="89"/>
      <c r="C975" s="89"/>
      <c r="D975" s="89"/>
      <c r="E975" s="89"/>
    </row>
    <row r="976">
      <c r="B976" s="89"/>
      <c r="C976" s="89"/>
      <c r="D976" s="89"/>
      <c r="E976" s="89"/>
    </row>
    <row r="977">
      <c r="B977" s="89"/>
      <c r="C977" s="89"/>
      <c r="D977" s="89"/>
      <c r="E977" s="89"/>
    </row>
    <row r="978">
      <c r="B978" s="89"/>
      <c r="C978" s="89"/>
      <c r="D978" s="89"/>
      <c r="E978" s="89"/>
    </row>
    <row r="979">
      <c r="B979" s="89"/>
      <c r="C979" s="89"/>
      <c r="D979" s="89"/>
      <c r="E979" s="89"/>
    </row>
    <row r="980">
      <c r="B980" s="89"/>
      <c r="C980" s="89"/>
      <c r="D980" s="89"/>
      <c r="E980" s="89"/>
    </row>
    <row r="981">
      <c r="B981" s="89"/>
      <c r="C981" s="89"/>
      <c r="D981" s="89"/>
      <c r="E981" s="89"/>
    </row>
    <row r="982">
      <c r="B982" s="89"/>
      <c r="C982" s="89"/>
      <c r="D982" s="89"/>
      <c r="E982" s="89"/>
    </row>
    <row r="983">
      <c r="B983" s="89"/>
      <c r="C983" s="89"/>
      <c r="D983" s="89"/>
      <c r="E983" s="89"/>
    </row>
    <row r="984">
      <c r="B984" s="89"/>
      <c r="C984" s="89"/>
      <c r="D984" s="89"/>
      <c r="E984" s="89"/>
    </row>
    <row r="985">
      <c r="B985" s="89"/>
      <c r="C985" s="89"/>
      <c r="D985" s="89"/>
      <c r="E985" s="89"/>
    </row>
    <row r="986">
      <c r="B986" s="89"/>
      <c r="C986" s="89"/>
      <c r="D986" s="89"/>
      <c r="E986" s="89"/>
    </row>
    <row r="987">
      <c r="B987" s="89"/>
      <c r="C987" s="89"/>
      <c r="D987" s="89"/>
      <c r="E987" s="89"/>
    </row>
    <row r="988">
      <c r="B988" s="89"/>
      <c r="C988" s="89"/>
      <c r="D988" s="89"/>
      <c r="E988" s="89"/>
    </row>
    <row r="989">
      <c r="B989" s="89"/>
      <c r="C989" s="89"/>
      <c r="D989" s="89"/>
      <c r="E989" s="89"/>
    </row>
    <row r="990">
      <c r="B990" s="89"/>
      <c r="C990" s="89"/>
      <c r="D990" s="89"/>
      <c r="E990" s="89"/>
    </row>
    <row r="991">
      <c r="B991" s="89"/>
      <c r="C991" s="89"/>
      <c r="D991" s="89"/>
      <c r="E991" s="89"/>
    </row>
    <row r="992">
      <c r="B992" s="89"/>
      <c r="C992" s="89"/>
      <c r="D992" s="89"/>
      <c r="E992" s="89"/>
    </row>
    <row r="993">
      <c r="B993" s="89"/>
      <c r="C993" s="89"/>
      <c r="D993" s="89"/>
      <c r="E993" s="89"/>
    </row>
    <row r="994">
      <c r="B994" s="89"/>
      <c r="C994" s="89"/>
      <c r="D994" s="89"/>
      <c r="E994" s="89"/>
    </row>
    <row r="995">
      <c r="B995" s="89"/>
      <c r="C995" s="89"/>
      <c r="D995" s="89"/>
      <c r="E995" s="89"/>
    </row>
    <row r="996">
      <c r="B996" s="89"/>
      <c r="C996" s="89"/>
      <c r="D996" s="89"/>
      <c r="E996" s="89"/>
    </row>
    <row r="997">
      <c r="B997" s="89"/>
      <c r="C997" s="89"/>
      <c r="D997" s="89"/>
      <c r="E997" s="89"/>
    </row>
    <row r="998">
      <c r="B998" s="89"/>
      <c r="C998" s="89"/>
      <c r="D998" s="89"/>
      <c r="E998" s="89"/>
    </row>
    <row r="999">
      <c r="B999" s="89"/>
      <c r="C999" s="89"/>
      <c r="D999" s="89"/>
      <c r="E999" s="89"/>
    </row>
    <row r="1000">
      <c r="B1000" s="89"/>
      <c r="C1000" s="89"/>
      <c r="D1000" s="89"/>
      <c r="E1000" s="89"/>
    </row>
  </sheetData>
  <mergeCells count="2">
    <mergeCell ref="A1:C1"/>
    <mergeCell ref="B3:E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4.0" topLeftCell="L5" activePane="bottomRight" state="frozen"/>
      <selection activeCell="L1" sqref="L1" pane="topRight"/>
      <selection activeCell="A5" sqref="A5" pane="bottomLeft"/>
      <selection activeCell="L5" sqref="L5" pane="bottomRight"/>
    </sheetView>
  </sheetViews>
  <sheetFormatPr customHeight="1" defaultColWidth="12.63" defaultRowHeight="15.75"/>
  <cols>
    <col customWidth="1" min="1" max="1" width="7.0"/>
    <col customWidth="1" min="2" max="2" width="8.75"/>
    <col customWidth="1" min="3" max="3" width="8.5"/>
    <col customWidth="1" min="4" max="4" width="8.38"/>
    <col customWidth="1" min="5" max="5" width="15.5"/>
    <col customWidth="1" min="6" max="6" width="9.63"/>
    <col customWidth="1" min="7" max="7" width="10.13"/>
    <col customWidth="1" min="8" max="8" width="9.63"/>
    <col customWidth="1" min="9" max="9" width="11.0"/>
    <col customWidth="1" min="10" max="10" width="10.13"/>
    <col customWidth="1" min="11" max="11" width="11.88"/>
  </cols>
  <sheetData>
    <row r="1">
      <c r="A1" s="6" t="s">
        <v>276</v>
      </c>
      <c r="D1" s="6"/>
      <c r="E1" s="6"/>
      <c r="F1" s="6"/>
      <c r="G1" s="6"/>
      <c r="H1" s="6"/>
      <c r="I1" s="6"/>
      <c r="J1" s="6"/>
      <c r="K1" s="6"/>
    </row>
    <row r="2">
      <c r="B2" s="89"/>
      <c r="C2" s="89"/>
      <c r="D2" s="89"/>
      <c r="E2" s="89"/>
      <c r="F2" s="89"/>
      <c r="G2" s="89"/>
      <c r="H2" s="89"/>
      <c r="I2" s="89"/>
      <c r="J2" s="89"/>
      <c r="K2" s="89"/>
    </row>
    <row r="3">
      <c r="B3" s="101" t="s">
        <v>285</v>
      </c>
      <c r="F3" s="101"/>
      <c r="G3" s="101"/>
      <c r="H3" s="101"/>
      <c r="I3" s="101"/>
      <c r="J3" s="101"/>
      <c r="K3" s="101"/>
      <c r="L3" s="4" t="s">
        <v>286</v>
      </c>
      <c r="Q3" s="4" t="s">
        <v>287</v>
      </c>
      <c r="X3" s="4" t="s">
        <v>186</v>
      </c>
      <c r="AC3" s="4" t="s">
        <v>203</v>
      </c>
    </row>
    <row r="4">
      <c r="A4" s="4" t="s">
        <v>290</v>
      </c>
      <c r="B4" s="66" t="s">
        <v>291</v>
      </c>
      <c r="C4" s="66" t="s">
        <v>293</v>
      </c>
      <c r="D4" s="66" t="s">
        <v>295</v>
      </c>
      <c r="E4" s="66" t="s">
        <v>296</v>
      </c>
      <c r="F4" s="66" t="s">
        <v>349</v>
      </c>
      <c r="G4" s="66" t="s">
        <v>350</v>
      </c>
      <c r="H4" s="66" t="s">
        <v>351</v>
      </c>
      <c r="I4" s="66" t="s">
        <v>352</v>
      </c>
      <c r="J4" s="66" t="s">
        <v>353</v>
      </c>
      <c r="K4" s="66" t="s">
        <v>354</v>
      </c>
      <c r="L4" s="4" t="s">
        <v>297</v>
      </c>
      <c r="M4" s="4" t="s">
        <v>11</v>
      </c>
      <c r="N4" s="4" t="s">
        <v>157</v>
      </c>
      <c r="O4" s="4" t="s">
        <v>299</v>
      </c>
      <c r="P4" s="4"/>
      <c r="Q4" s="4" t="s">
        <v>305</v>
      </c>
      <c r="S4" s="4" t="s">
        <v>11</v>
      </c>
      <c r="T4" s="4" t="s">
        <v>157</v>
      </c>
      <c r="U4" s="4" t="s">
        <v>162</v>
      </c>
      <c r="V4" s="4" t="s">
        <v>300</v>
      </c>
      <c r="W4" s="4" t="s">
        <v>301</v>
      </c>
      <c r="X4" s="4" t="s">
        <v>313</v>
      </c>
      <c r="Y4" s="4" t="s">
        <v>11</v>
      </c>
      <c r="Z4" s="4" t="s">
        <v>317</v>
      </c>
      <c r="AA4" s="4" t="s">
        <v>299</v>
      </c>
      <c r="AB4" s="4"/>
      <c r="AC4" s="4" t="s">
        <v>293</v>
      </c>
      <c r="AD4" s="4" t="s">
        <v>11</v>
      </c>
      <c r="AE4" s="4" t="s">
        <v>157</v>
      </c>
      <c r="AF4" s="4" t="s">
        <v>299</v>
      </c>
    </row>
    <row r="5">
      <c r="A5" s="4">
        <v>1.0</v>
      </c>
      <c r="B5" s="66">
        <v>7.0</v>
      </c>
      <c r="C5" s="111">
        <v>200.0</v>
      </c>
      <c r="D5" s="66">
        <f>SUM(B$5)</f>
        <v>7</v>
      </c>
      <c r="E5" s="66">
        <f>sum(C5)</f>
        <v>200</v>
      </c>
      <c r="F5" s="66"/>
      <c r="G5" s="66"/>
      <c r="H5" s="66"/>
      <c r="I5" s="66"/>
      <c r="J5" s="66"/>
      <c r="K5" s="66"/>
      <c r="L5" s="94"/>
      <c r="M5" s="95">
        <v>1.046</v>
      </c>
      <c r="N5" s="96"/>
      <c r="O5" s="96"/>
      <c r="P5" s="96"/>
      <c r="Q5" s="96"/>
      <c r="R5" s="96"/>
      <c r="S5" s="95">
        <v>1.035</v>
      </c>
      <c r="T5" s="96"/>
      <c r="U5" s="96"/>
      <c r="V5" s="96"/>
      <c r="W5" s="96"/>
      <c r="X5" s="96"/>
      <c r="Y5" s="95">
        <v>1.033</v>
      </c>
      <c r="Z5" s="96"/>
      <c r="AA5" s="96"/>
      <c r="AB5" s="96"/>
      <c r="AC5" s="96"/>
      <c r="AD5" s="94">
        <v>1.055</v>
      </c>
      <c r="AE5" s="94">
        <v>1.065</v>
      </c>
    </row>
    <row r="6">
      <c r="A6" s="4">
        <v>2.0</v>
      </c>
      <c r="B6" s="66">
        <v>7.0</v>
      </c>
      <c r="C6" s="111">
        <v>200.0</v>
      </c>
      <c r="D6" s="66">
        <f t="shared" ref="D6:D93" si="1">SUM($B$5:B6)</f>
        <v>14</v>
      </c>
      <c r="E6" s="66">
        <f t="shared" ref="E6:E93" si="2">SUM($C$5:C6)</f>
        <v>400</v>
      </c>
      <c r="F6" s="66"/>
      <c r="G6" s="66"/>
      <c r="H6" s="66"/>
      <c r="I6" s="66"/>
      <c r="J6" s="66"/>
      <c r="K6" s="66"/>
      <c r="L6" s="96"/>
      <c r="M6" s="96"/>
      <c r="N6" s="96"/>
      <c r="O6" s="96"/>
      <c r="P6" s="96"/>
      <c r="Q6" s="96"/>
      <c r="R6" s="96"/>
      <c r="S6" s="96"/>
      <c r="T6" s="96"/>
      <c r="U6" s="96"/>
      <c r="V6" s="96"/>
      <c r="W6" s="96"/>
      <c r="X6" s="96"/>
      <c r="Y6" s="96"/>
      <c r="Z6" s="96"/>
      <c r="AA6" s="96"/>
      <c r="AB6" s="96"/>
      <c r="AC6" s="96"/>
      <c r="AD6" s="96"/>
      <c r="AE6" s="96"/>
    </row>
    <row r="7">
      <c r="A7" s="4">
        <v>3.0</v>
      </c>
      <c r="B7" s="66">
        <v>7.0</v>
      </c>
      <c r="C7" s="111">
        <v>200.0</v>
      </c>
      <c r="D7" s="66">
        <f t="shared" si="1"/>
        <v>21</v>
      </c>
      <c r="E7" s="66">
        <f t="shared" si="2"/>
        <v>600</v>
      </c>
      <c r="F7" s="66"/>
      <c r="G7" s="66"/>
      <c r="H7" s="66"/>
      <c r="I7" s="66"/>
      <c r="J7" s="66"/>
      <c r="K7" s="66"/>
      <c r="L7" s="96"/>
      <c r="M7" s="96"/>
      <c r="N7" s="96"/>
      <c r="O7" s="96"/>
      <c r="P7" s="96"/>
      <c r="Q7" s="96"/>
      <c r="R7" s="96"/>
      <c r="S7" s="96"/>
      <c r="T7" s="96"/>
      <c r="U7" s="96"/>
      <c r="V7" s="96"/>
      <c r="W7" s="96"/>
      <c r="X7" s="96"/>
      <c r="Y7" s="96"/>
      <c r="Z7" s="96"/>
      <c r="AA7" s="96"/>
      <c r="AB7" s="96"/>
      <c r="AC7" s="96"/>
      <c r="AD7" s="96"/>
      <c r="AE7" s="96"/>
    </row>
    <row r="8">
      <c r="A8" s="97">
        <f t="shared" ref="A8:A304" si="3">A7+1</f>
        <v>4</v>
      </c>
      <c r="B8" s="66">
        <v>7.0</v>
      </c>
      <c r="C8" s="111">
        <v>200.0</v>
      </c>
      <c r="D8" s="66">
        <f t="shared" si="1"/>
        <v>28</v>
      </c>
      <c r="E8" s="66">
        <f t="shared" si="2"/>
        <v>800</v>
      </c>
      <c r="F8" s="66"/>
      <c r="G8" s="66"/>
      <c r="H8" s="66"/>
      <c r="I8" s="66"/>
      <c r="J8" s="66"/>
      <c r="K8" s="66"/>
      <c r="L8" s="96"/>
      <c r="M8" s="96"/>
      <c r="N8" s="96"/>
      <c r="O8" s="96"/>
      <c r="P8" s="96"/>
      <c r="Q8" s="96"/>
      <c r="R8" s="96"/>
      <c r="S8" s="96"/>
      <c r="T8" s="96"/>
      <c r="U8" s="96"/>
      <c r="V8" s="96"/>
      <c r="W8" s="96"/>
      <c r="X8" s="96"/>
      <c r="Y8" s="96"/>
      <c r="Z8" s="96"/>
      <c r="AA8" s="96"/>
      <c r="AB8" s="96"/>
      <c r="AC8" s="96"/>
      <c r="AD8" s="96"/>
      <c r="AE8" s="96"/>
    </row>
    <row r="9">
      <c r="A9" s="97">
        <f t="shared" si="3"/>
        <v>5</v>
      </c>
      <c r="B9" s="66">
        <v>12.0</v>
      </c>
      <c r="C9" s="111">
        <v>500.0</v>
      </c>
      <c r="D9" s="66">
        <f t="shared" si="1"/>
        <v>40</v>
      </c>
      <c r="E9" s="66">
        <f t="shared" si="2"/>
        <v>1300</v>
      </c>
      <c r="F9" s="66"/>
      <c r="G9" s="66"/>
      <c r="H9" s="66"/>
      <c r="I9" s="66"/>
      <c r="J9" s="66"/>
      <c r="K9" s="66"/>
      <c r="L9" s="96"/>
      <c r="M9" s="96"/>
      <c r="N9" s="96"/>
      <c r="O9" s="96"/>
      <c r="P9" s="96"/>
      <c r="Q9" s="96"/>
      <c r="R9" s="96"/>
      <c r="S9" s="96"/>
      <c r="T9" s="96"/>
      <c r="U9" s="96"/>
      <c r="V9" s="96"/>
      <c r="W9" s="96"/>
      <c r="X9" s="96"/>
      <c r="Y9" s="96"/>
      <c r="Z9" s="96"/>
      <c r="AA9" s="96"/>
      <c r="AB9" s="96"/>
      <c r="AC9" s="96"/>
      <c r="AD9" s="96"/>
      <c r="AE9" s="96"/>
    </row>
    <row r="10">
      <c r="A10" s="97">
        <f t="shared" si="3"/>
        <v>6</v>
      </c>
      <c r="B10" s="66">
        <v>12.0</v>
      </c>
      <c r="C10" s="111">
        <v>500.0</v>
      </c>
      <c r="D10" s="66">
        <f t="shared" si="1"/>
        <v>52</v>
      </c>
      <c r="E10" s="66">
        <f t="shared" si="2"/>
        <v>1800</v>
      </c>
      <c r="F10" s="66"/>
      <c r="G10" s="66"/>
      <c r="H10" s="66"/>
      <c r="I10" s="66"/>
      <c r="J10" s="66"/>
      <c r="K10" s="66"/>
      <c r="L10" s="96"/>
      <c r="M10" s="96"/>
      <c r="N10" s="96"/>
      <c r="O10" s="96"/>
      <c r="P10" s="96"/>
      <c r="Q10" s="96"/>
      <c r="R10" s="96"/>
      <c r="S10" s="96"/>
      <c r="T10" s="96"/>
      <c r="U10" s="96"/>
      <c r="V10" s="96"/>
      <c r="W10" s="96"/>
      <c r="X10" s="96"/>
      <c r="Y10" s="96"/>
      <c r="Z10" s="96"/>
      <c r="AA10" s="96"/>
      <c r="AB10" s="96"/>
      <c r="AC10" s="96"/>
      <c r="AD10" s="96"/>
      <c r="AE10" s="96"/>
    </row>
    <row r="11">
      <c r="A11" s="97">
        <f t="shared" si="3"/>
        <v>7</v>
      </c>
      <c r="B11" s="66">
        <v>12.0</v>
      </c>
      <c r="C11" s="111">
        <v>500.0</v>
      </c>
      <c r="D11" s="66">
        <f t="shared" si="1"/>
        <v>64</v>
      </c>
      <c r="E11" s="66">
        <f t="shared" si="2"/>
        <v>2300</v>
      </c>
      <c r="F11" s="66"/>
      <c r="G11" s="66"/>
      <c r="H11" s="66"/>
      <c r="I11" s="66"/>
      <c r="J11" s="66"/>
      <c r="K11" s="66"/>
      <c r="L11" s="96"/>
      <c r="M11" s="96"/>
      <c r="N11" s="96"/>
      <c r="O11" s="96"/>
      <c r="P11" s="96"/>
      <c r="Q11" s="96"/>
      <c r="R11" s="96"/>
      <c r="S11" s="96"/>
      <c r="T11" s="96"/>
      <c r="U11" s="96"/>
      <c r="V11" s="96"/>
      <c r="W11" s="96"/>
      <c r="X11" s="96"/>
      <c r="Y11" s="95">
        <v>1.089</v>
      </c>
      <c r="Z11" s="96"/>
      <c r="AA11" s="96"/>
      <c r="AB11" s="96"/>
      <c r="AC11" s="96"/>
      <c r="AD11" s="96"/>
      <c r="AE11" s="96"/>
    </row>
    <row r="12">
      <c r="A12" s="97">
        <f t="shared" si="3"/>
        <v>8</v>
      </c>
      <c r="B12" s="66">
        <v>12.0</v>
      </c>
      <c r="C12" s="66">
        <v>500.0</v>
      </c>
      <c r="D12" s="66">
        <f t="shared" si="1"/>
        <v>76</v>
      </c>
      <c r="E12" s="66">
        <f t="shared" si="2"/>
        <v>2800</v>
      </c>
      <c r="F12" s="66"/>
      <c r="G12" s="66"/>
      <c r="H12" s="66"/>
      <c r="I12" s="66"/>
      <c r="J12" s="66"/>
      <c r="K12" s="66"/>
      <c r="L12" s="96"/>
      <c r="M12" s="96"/>
      <c r="N12" s="96"/>
      <c r="O12" s="96"/>
      <c r="P12" s="96"/>
      <c r="Q12" s="96"/>
      <c r="R12" s="96"/>
      <c r="S12" s="96"/>
      <c r="T12" s="96"/>
      <c r="U12" s="96"/>
      <c r="V12" s="96"/>
      <c r="W12" s="96"/>
      <c r="X12" s="96"/>
      <c r="Y12" s="96"/>
      <c r="Z12" s="96"/>
      <c r="AA12" s="96"/>
      <c r="AB12" s="96"/>
      <c r="AC12" s="96"/>
      <c r="AD12" s="96"/>
      <c r="AE12" s="96"/>
    </row>
    <row r="13">
      <c r="A13" s="97">
        <f t="shared" si="3"/>
        <v>9</v>
      </c>
      <c r="B13" s="66">
        <v>12.0</v>
      </c>
      <c r="C13" s="111">
        <v>1200.0</v>
      </c>
      <c r="D13" s="66">
        <f t="shared" si="1"/>
        <v>88</v>
      </c>
      <c r="E13" s="66">
        <f t="shared" si="2"/>
        <v>4000</v>
      </c>
      <c r="F13" s="66"/>
      <c r="G13" s="66"/>
      <c r="H13" s="66"/>
      <c r="I13" s="66"/>
      <c r="J13" s="66"/>
      <c r="K13" s="66"/>
      <c r="L13" s="96"/>
      <c r="M13" s="96"/>
      <c r="N13" s="96"/>
      <c r="O13" s="96"/>
      <c r="P13" s="96"/>
      <c r="Q13" s="96"/>
      <c r="R13" s="96"/>
      <c r="S13" s="96"/>
      <c r="T13" s="96"/>
      <c r="U13" s="96"/>
      <c r="V13" s="96"/>
      <c r="W13" s="96"/>
      <c r="X13" s="96"/>
      <c r="Y13" s="96"/>
      <c r="Z13" s="96"/>
      <c r="AA13" s="96"/>
      <c r="AB13" s="96"/>
      <c r="AC13" s="96"/>
      <c r="AD13" s="96"/>
      <c r="AE13" s="96"/>
    </row>
    <row r="14">
      <c r="A14" s="97">
        <f t="shared" si="3"/>
        <v>10</v>
      </c>
      <c r="B14" s="66">
        <v>20.0</v>
      </c>
      <c r="C14" s="111">
        <v>1200.0</v>
      </c>
      <c r="D14" s="66">
        <f t="shared" si="1"/>
        <v>108</v>
      </c>
      <c r="E14" s="66">
        <f t="shared" si="2"/>
        <v>5200</v>
      </c>
      <c r="F14" s="66"/>
      <c r="G14" s="66"/>
      <c r="H14" s="66"/>
      <c r="I14" s="66"/>
      <c r="J14" s="66"/>
      <c r="K14" s="66"/>
      <c r="L14" s="96"/>
      <c r="M14" s="96"/>
      <c r="N14" s="96"/>
      <c r="O14" s="96"/>
      <c r="P14" s="96"/>
      <c r="Q14" s="96"/>
      <c r="R14" s="96"/>
      <c r="S14" s="96"/>
      <c r="T14" s="96"/>
      <c r="U14" s="96"/>
      <c r="V14" s="96"/>
      <c r="W14" s="96"/>
      <c r="X14" s="96"/>
      <c r="Y14" s="96"/>
      <c r="Z14" s="96"/>
      <c r="AA14" s="96"/>
      <c r="AB14" s="96"/>
      <c r="AC14" s="96"/>
      <c r="AD14" s="96"/>
      <c r="AE14" s="96"/>
    </row>
    <row r="15">
      <c r="A15" s="97">
        <f t="shared" si="3"/>
        <v>11</v>
      </c>
      <c r="B15" s="66">
        <v>20.0</v>
      </c>
      <c r="C15" s="111">
        <v>1200.0</v>
      </c>
      <c r="D15" s="66">
        <f t="shared" si="1"/>
        <v>128</v>
      </c>
      <c r="E15" s="66">
        <f t="shared" si="2"/>
        <v>6400</v>
      </c>
      <c r="F15" s="66"/>
      <c r="G15" s="66"/>
      <c r="H15" s="66"/>
      <c r="I15" s="66"/>
      <c r="J15" s="66"/>
      <c r="K15" s="66"/>
      <c r="L15" s="94"/>
      <c r="M15" s="94"/>
      <c r="N15" s="96"/>
      <c r="O15" s="96"/>
      <c r="P15" s="96"/>
      <c r="Q15" s="96"/>
      <c r="R15" s="96"/>
      <c r="S15" s="96"/>
      <c r="T15" s="96"/>
      <c r="U15" s="96"/>
      <c r="V15" s="96"/>
      <c r="W15" s="96"/>
      <c r="X15" s="96"/>
      <c r="Y15" s="96"/>
      <c r="Z15" s="96"/>
      <c r="AA15" s="96"/>
      <c r="AB15" s="96"/>
      <c r="AC15" s="96"/>
      <c r="AD15" s="96"/>
      <c r="AE15" s="96"/>
    </row>
    <row r="16">
      <c r="A16" s="97">
        <f t="shared" si="3"/>
        <v>12</v>
      </c>
      <c r="B16" s="111">
        <v>20.0</v>
      </c>
      <c r="C16" s="111">
        <v>1200.0</v>
      </c>
      <c r="D16" s="66">
        <f t="shared" si="1"/>
        <v>148</v>
      </c>
      <c r="E16" s="66">
        <f t="shared" si="2"/>
        <v>7600</v>
      </c>
      <c r="F16" s="66"/>
      <c r="G16" s="66"/>
      <c r="H16" s="66"/>
      <c r="I16" s="66"/>
      <c r="J16" s="66"/>
      <c r="K16" s="66"/>
      <c r="L16" s="96"/>
      <c r="M16" s="96"/>
      <c r="N16" s="96"/>
      <c r="O16" s="96"/>
      <c r="P16" s="96"/>
      <c r="Q16" s="96"/>
      <c r="R16" s="96"/>
      <c r="S16" s="96"/>
      <c r="T16" s="96"/>
      <c r="U16" s="96"/>
      <c r="V16" s="96"/>
      <c r="W16" s="96"/>
      <c r="X16" s="96"/>
      <c r="Y16" s="96"/>
      <c r="Z16" s="96"/>
      <c r="AA16" s="96"/>
      <c r="AB16" s="96"/>
      <c r="AC16" s="96"/>
      <c r="AD16" s="96"/>
      <c r="AE16" s="96"/>
    </row>
    <row r="17">
      <c r="A17" s="97">
        <f t="shared" si="3"/>
        <v>13</v>
      </c>
      <c r="B17" s="111">
        <v>20.0</v>
      </c>
      <c r="C17" s="111">
        <v>1200.0</v>
      </c>
      <c r="D17" s="66">
        <f t="shared" si="1"/>
        <v>168</v>
      </c>
      <c r="E17" s="66">
        <f t="shared" si="2"/>
        <v>8800</v>
      </c>
      <c r="F17" s="66"/>
      <c r="G17" s="66"/>
      <c r="H17" s="66"/>
      <c r="I17" s="66"/>
      <c r="J17" s="66"/>
      <c r="K17" s="66"/>
      <c r="L17" s="94">
        <f>M17-M15</f>
        <v>0</v>
      </c>
      <c r="M17" s="94"/>
      <c r="N17" s="96"/>
      <c r="O17" s="96"/>
      <c r="P17" s="96"/>
      <c r="Q17" s="96"/>
      <c r="R17" s="96"/>
      <c r="S17" s="96"/>
      <c r="T17" s="96"/>
      <c r="U17" s="96"/>
      <c r="V17" s="96"/>
      <c r="W17" s="96"/>
      <c r="X17" s="96"/>
      <c r="Y17" s="96"/>
      <c r="Z17" s="96"/>
      <c r="AA17" s="96"/>
      <c r="AB17" s="96"/>
      <c r="AC17" s="96"/>
      <c r="AD17" s="96"/>
      <c r="AE17" s="96"/>
    </row>
    <row r="18">
      <c r="A18" s="97">
        <f t="shared" si="3"/>
        <v>14</v>
      </c>
      <c r="B18" s="111">
        <v>20.0</v>
      </c>
      <c r="C18" s="111">
        <v>2500.0</v>
      </c>
      <c r="D18" s="66">
        <f t="shared" si="1"/>
        <v>188</v>
      </c>
      <c r="E18" s="66">
        <f t="shared" si="2"/>
        <v>11300</v>
      </c>
      <c r="F18" s="66"/>
      <c r="G18" s="66"/>
      <c r="H18" s="66"/>
      <c r="I18" s="66"/>
      <c r="J18" s="66"/>
      <c r="K18" s="66"/>
      <c r="L18" s="96"/>
      <c r="M18" s="96"/>
      <c r="N18" s="96"/>
      <c r="O18" s="96"/>
      <c r="P18" s="96"/>
      <c r="Q18" s="96"/>
      <c r="R18" s="96"/>
      <c r="S18" s="94">
        <v>1.84</v>
      </c>
      <c r="T18" s="96"/>
      <c r="U18" s="96"/>
      <c r="V18" s="96"/>
      <c r="W18" s="96"/>
      <c r="X18" s="96"/>
      <c r="Y18" s="96"/>
      <c r="Z18" s="96"/>
      <c r="AA18" s="96"/>
      <c r="AB18" s="96"/>
      <c r="AC18" s="96"/>
      <c r="AD18" s="96"/>
      <c r="AE18" s="96"/>
    </row>
    <row r="19">
      <c r="A19" s="97">
        <f t="shared" si="3"/>
        <v>15</v>
      </c>
      <c r="B19" s="66">
        <v>25.0</v>
      </c>
      <c r="C19" s="111">
        <v>2500.0</v>
      </c>
      <c r="D19" s="66">
        <f t="shared" si="1"/>
        <v>213</v>
      </c>
      <c r="E19" s="66">
        <f t="shared" si="2"/>
        <v>13800</v>
      </c>
      <c r="F19" s="66"/>
      <c r="G19" s="66"/>
      <c r="H19" s="66"/>
      <c r="I19" s="66"/>
      <c r="J19" s="66"/>
      <c r="K19" s="66"/>
      <c r="L19" s="94">
        <f>M19-M17</f>
        <v>0</v>
      </c>
      <c r="M19" s="94"/>
      <c r="N19" s="96"/>
      <c r="O19" s="96"/>
      <c r="P19" s="96"/>
      <c r="Q19" s="96"/>
      <c r="R19" s="96"/>
      <c r="S19" s="96"/>
      <c r="T19" s="96"/>
      <c r="U19" s="96"/>
      <c r="V19" s="96"/>
      <c r="W19" s="96"/>
      <c r="X19" s="96"/>
      <c r="Y19" s="96"/>
      <c r="Z19" s="96"/>
      <c r="AA19" s="96"/>
      <c r="AB19" s="96"/>
      <c r="AC19" s="96"/>
      <c r="AD19" s="96"/>
      <c r="AE19" s="96"/>
    </row>
    <row r="20">
      <c r="A20" s="97">
        <f t="shared" si="3"/>
        <v>16</v>
      </c>
      <c r="B20" s="66">
        <v>25.0</v>
      </c>
      <c r="C20" s="111">
        <v>2500.0</v>
      </c>
      <c r="D20" s="66">
        <f t="shared" si="1"/>
        <v>238</v>
      </c>
      <c r="E20" s="66">
        <f t="shared" si="2"/>
        <v>16300</v>
      </c>
      <c r="F20" s="66"/>
      <c r="G20" s="66"/>
      <c r="H20" s="66"/>
      <c r="I20" s="66"/>
      <c r="J20" s="66"/>
      <c r="K20" s="66"/>
      <c r="L20" s="96"/>
      <c r="M20" s="96"/>
      <c r="N20" s="96"/>
      <c r="O20" s="96"/>
      <c r="P20" s="96"/>
      <c r="Q20" s="96"/>
      <c r="R20" s="96"/>
      <c r="S20" s="96"/>
      <c r="T20" s="96"/>
      <c r="U20" s="96"/>
      <c r="V20" s="96"/>
      <c r="W20" s="96"/>
      <c r="X20" s="96"/>
      <c r="Y20" s="96"/>
      <c r="Z20" s="96"/>
      <c r="AA20" s="96"/>
      <c r="AB20" s="96"/>
      <c r="AC20" s="96"/>
      <c r="AD20" s="96"/>
      <c r="AE20" s="96"/>
    </row>
    <row r="21">
      <c r="A21" s="97">
        <f t="shared" si="3"/>
        <v>17</v>
      </c>
      <c r="B21" s="66">
        <v>25.0</v>
      </c>
      <c r="C21" s="111">
        <v>2500.0</v>
      </c>
      <c r="D21" s="66">
        <f t="shared" si="1"/>
        <v>263</v>
      </c>
      <c r="E21" s="66">
        <f t="shared" si="2"/>
        <v>18800</v>
      </c>
      <c r="F21" s="66"/>
      <c r="G21" s="66"/>
      <c r="H21" s="66"/>
      <c r="I21" s="66"/>
      <c r="J21" s="66"/>
      <c r="K21" s="66"/>
      <c r="L21" s="96"/>
      <c r="M21" s="96"/>
      <c r="N21" s="96"/>
      <c r="O21" s="96"/>
      <c r="P21" s="96"/>
      <c r="Q21" s="96"/>
      <c r="R21" s="96"/>
      <c r="S21" s="96"/>
      <c r="T21" s="96"/>
      <c r="U21" s="96"/>
      <c r="V21" s="96"/>
      <c r="W21" s="96"/>
      <c r="X21" s="96"/>
      <c r="Y21" s="96"/>
      <c r="Z21" s="96"/>
      <c r="AA21" s="96"/>
      <c r="AB21" s="96"/>
      <c r="AC21" s="96"/>
      <c r="AD21" s="96"/>
      <c r="AE21" s="96"/>
    </row>
    <row r="22">
      <c r="A22" s="97">
        <f t="shared" si="3"/>
        <v>18</v>
      </c>
      <c r="B22" s="66">
        <v>25.0</v>
      </c>
      <c r="C22" s="111">
        <v>2500.0</v>
      </c>
      <c r="D22" s="66">
        <f t="shared" si="1"/>
        <v>288</v>
      </c>
      <c r="E22" s="66">
        <f t="shared" si="2"/>
        <v>21300</v>
      </c>
      <c r="F22" s="66"/>
      <c r="G22" s="66"/>
      <c r="H22" s="66"/>
      <c r="I22" s="66"/>
      <c r="J22" s="66"/>
      <c r="K22" s="66"/>
      <c r="L22" s="96"/>
      <c r="M22" s="96"/>
      <c r="N22" s="96"/>
      <c r="O22" s="96"/>
      <c r="P22" s="96"/>
      <c r="Q22" s="96"/>
      <c r="R22" s="96"/>
      <c r="S22" s="96"/>
      <c r="T22" s="96"/>
      <c r="U22" s="96"/>
      <c r="V22" s="96"/>
      <c r="W22" s="96"/>
      <c r="X22" s="96"/>
      <c r="Y22" s="96"/>
      <c r="Z22" s="96"/>
      <c r="AA22" s="96"/>
      <c r="AB22" s="96"/>
      <c r="AC22" s="96"/>
      <c r="AD22" s="96"/>
      <c r="AE22" s="96"/>
    </row>
    <row r="23">
      <c r="A23" s="97">
        <f t="shared" si="3"/>
        <v>19</v>
      </c>
      <c r="B23" s="66">
        <v>25.0</v>
      </c>
      <c r="C23" s="111">
        <v>5500.0</v>
      </c>
      <c r="D23" s="66">
        <f t="shared" si="1"/>
        <v>313</v>
      </c>
      <c r="E23" s="66">
        <f t="shared" si="2"/>
        <v>26800</v>
      </c>
      <c r="F23" s="66"/>
      <c r="G23" s="66"/>
      <c r="H23" s="66"/>
      <c r="I23" s="66"/>
      <c r="J23" s="66"/>
      <c r="K23" s="66"/>
      <c r="L23" s="96"/>
      <c r="M23" s="96"/>
      <c r="N23" s="96"/>
      <c r="O23" s="96"/>
      <c r="P23" s="96"/>
      <c r="Q23" s="96"/>
      <c r="R23" s="96"/>
      <c r="S23" s="96"/>
      <c r="T23" s="96"/>
      <c r="U23" s="96"/>
      <c r="V23" s="96"/>
      <c r="W23" s="96"/>
      <c r="X23" s="96"/>
      <c r="Y23" s="96"/>
      <c r="Z23" s="96"/>
      <c r="AA23" s="96"/>
      <c r="AB23" s="96"/>
      <c r="AC23" s="96"/>
      <c r="AD23" s="96"/>
      <c r="AE23" s="96"/>
    </row>
    <row r="24">
      <c r="A24" s="97">
        <f t="shared" si="3"/>
        <v>20</v>
      </c>
      <c r="B24" s="66">
        <v>40.0</v>
      </c>
      <c r="C24" s="111">
        <v>5500.0</v>
      </c>
      <c r="D24" s="66">
        <f t="shared" si="1"/>
        <v>353</v>
      </c>
      <c r="E24" s="66">
        <f t="shared" si="2"/>
        <v>32300</v>
      </c>
      <c r="F24" s="66"/>
      <c r="G24" s="66"/>
      <c r="H24" s="66"/>
      <c r="I24" s="66"/>
      <c r="J24" s="66"/>
      <c r="K24" s="66"/>
      <c r="L24" s="96"/>
      <c r="M24" s="96"/>
      <c r="N24" s="96"/>
      <c r="O24" s="96"/>
      <c r="P24" s="96"/>
      <c r="Q24" s="96"/>
      <c r="R24" s="96"/>
      <c r="S24" s="96"/>
      <c r="T24" s="96"/>
      <c r="U24" s="96"/>
      <c r="V24" s="96"/>
      <c r="W24" s="96"/>
      <c r="X24" s="96"/>
      <c r="Y24" s="96"/>
      <c r="Z24" s="96"/>
      <c r="AA24" s="96"/>
      <c r="AB24" s="96"/>
      <c r="AC24" s="96"/>
      <c r="AD24" s="96"/>
      <c r="AE24" s="96"/>
    </row>
    <row r="25">
      <c r="A25" s="97">
        <f t="shared" si="3"/>
        <v>21</v>
      </c>
      <c r="B25" s="66">
        <v>40.0</v>
      </c>
      <c r="C25" s="111">
        <v>5500.0</v>
      </c>
      <c r="D25" s="66">
        <f t="shared" si="1"/>
        <v>393</v>
      </c>
      <c r="E25" s="66">
        <f t="shared" si="2"/>
        <v>37800</v>
      </c>
      <c r="F25" s="66"/>
      <c r="G25" s="66"/>
      <c r="H25" s="66"/>
      <c r="I25" s="66"/>
      <c r="J25" s="66"/>
      <c r="K25" s="66"/>
      <c r="L25" s="96"/>
      <c r="M25" s="96"/>
      <c r="N25" s="96"/>
      <c r="O25" s="96"/>
      <c r="P25" s="96"/>
      <c r="Q25" s="96"/>
      <c r="R25" s="96"/>
      <c r="S25" s="96"/>
      <c r="T25" s="96"/>
      <c r="U25" s="96"/>
      <c r="V25" s="96"/>
      <c r="W25" s="96"/>
      <c r="X25" s="96"/>
      <c r="Y25" s="95">
        <v>1.47</v>
      </c>
      <c r="Z25" s="96"/>
      <c r="AA25" s="96"/>
      <c r="AB25" s="96"/>
      <c r="AC25" s="96"/>
      <c r="AD25" s="96"/>
      <c r="AE25" s="96"/>
    </row>
    <row r="26">
      <c r="A26" s="97">
        <f t="shared" si="3"/>
        <v>22</v>
      </c>
      <c r="B26" s="66">
        <v>40.0</v>
      </c>
      <c r="C26" s="111">
        <v>5500.0</v>
      </c>
      <c r="D26" s="66">
        <f t="shared" si="1"/>
        <v>433</v>
      </c>
      <c r="E26" s="66">
        <f t="shared" si="2"/>
        <v>43300</v>
      </c>
      <c r="F26" s="66"/>
      <c r="G26" s="66"/>
      <c r="H26" s="66"/>
      <c r="I26" s="66"/>
      <c r="J26" s="66"/>
      <c r="K26" s="66"/>
      <c r="L26" s="96"/>
      <c r="M26" s="96"/>
      <c r="N26" s="96"/>
      <c r="O26" s="96"/>
      <c r="P26" s="96"/>
      <c r="Q26" s="96"/>
      <c r="R26" s="96"/>
      <c r="S26" s="96"/>
      <c r="T26" s="96"/>
      <c r="U26" s="96"/>
      <c r="V26" s="96"/>
      <c r="W26" s="96"/>
      <c r="X26" s="96"/>
      <c r="Y26" s="96"/>
      <c r="Z26" s="96"/>
      <c r="AA26" s="96"/>
      <c r="AB26" s="96"/>
      <c r="AC26" s="96"/>
      <c r="AD26" s="96"/>
      <c r="AE26" s="96"/>
    </row>
    <row r="27">
      <c r="A27" s="97">
        <f t="shared" si="3"/>
        <v>23</v>
      </c>
      <c r="B27" s="66">
        <v>40.0</v>
      </c>
      <c r="C27" s="66">
        <v>5500.0</v>
      </c>
      <c r="D27" s="66">
        <f t="shared" si="1"/>
        <v>473</v>
      </c>
      <c r="E27" s="66">
        <f t="shared" si="2"/>
        <v>48800</v>
      </c>
      <c r="F27" s="66"/>
      <c r="G27" s="66"/>
      <c r="H27" s="66"/>
      <c r="I27" s="66"/>
      <c r="J27" s="66"/>
      <c r="K27" s="66"/>
      <c r="L27" s="96"/>
      <c r="M27" s="96"/>
      <c r="N27" s="96"/>
      <c r="O27" s="96"/>
      <c r="P27" s="96"/>
      <c r="Q27" s="96"/>
      <c r="R27" s="96"/>
      <c r="S27" s="96"/>
      <c r="T27" s="96"/>
      <c r="U27" s="96"/>
      <c r="V27" s="96"/>
      <c r="W27" s="96"/>
      <c r="X27" s="96"/>
      <c r="Y27" s="96"/>
      <c r="Z27" s="96"/>
      <c r="AA27" s="96"/>
      <c r="AB27" s="96"/>
      <c r="AC27" s="96"/>
      <c r="AD27" s="94">
        <v>1.157</v>
      </c>
      <c r="AE27" s="96">
        <f t="shared" ref="AE27:AE36" si="4">AD27+0.01</f>
        <v>1.167</v>
      </c>
    </row>
    <row r="28">
      <c r="A28" s="97">
        <f t="shared" si="3"/>
        <v>24</v>
      </c>
      <c r="B28" s="66">
        <v>40.0</v>
      </c>
      <c r="C28" s="111">
        <v>10000.0</v>
      </c>
      <c r="D28" s="66">
        <f t="shared" si="1"/>
        <v>513</v>
      </c>
      <c r="E28" s="66">
        <f t="shared" si="2"/>
        <v>58800</v>
      </c>
      <c r="F28" s="66"/>
      <c r="G28" s="66"/>
      <c r="H28" s="66"/>
      <c r="I28" s="66"/>
      <c r="J28" s="66"/>
      <c r="K28" s="66"/>
      <c r="L28" s="96"/>
      <c r="M28" s="96"/>
      <c r="N28" s="96"/>
      <c r="O28" s="96"/>
      <c r="P28" s="96"/>
      <c r="Q28" s="96"/>
      <c r="R28" s="96"/>
      <c r="S28" s="96"/>
      <c r="T28" s="94"/>
      <c r="U28" s="94"/>
      <c r="V28" s="94"/>
      <c r="W28" s="94"/>
      <c r="X28" s="96"/>
      <c r="Y28" s="96"/>
      <c r="Z28" s="96"/>
      <c r="AA28" s="96"/>
      <c r="AB28" s="96"/>
      <c r="AC28" s="96"/>
      <c r="AD28" s="94">
        <v>1.162</v>
      </c>
      <c r="AE28" s="96">
        <f t="shared" si="4"/>
        <v>1.172</v>
      </c>
    </row>
    <row r="29">
      <c r="A29" s="97">
        <f t="shared" si="3"/>
        <v>25</v>
      </c>
      <c r="B29" s="66">
        <v>50.0</v>
      </c>
      <c r="C29" s="111">
        <v>10000.0</v>
      </c>
      <c r="D29" s="66">
        <f t="shared" si="1"/>
        <v>563</v>
      </c>
      <c r="E29" s="66">
        <f t="shared" si="2"/>
        <v>68800</v>
      </c>
      <c r="F29" s="66"/>
      <c r="G29" s="66"/>
      <c r="H29" s="66"/>
      <c r="I29" s="66"/>
      <c r="J29" s="66"/>
      <c r="K29" s="66"/>
      <c r="L29" s="96">
        <f>M30-M28</f>
        <v>2.086</v>
      </c>
      <c r="M29" s="96"/>
      <c r="N29" s="96"/>
      <c r="O29" s="96"/>
      <c r="P29" s="96"/>
      <c r="Q29" s="96"/>
      <c r="R29" s="96">
        <f t="shared" ref="R29:R33" si="5">T29-T28</f>
        <v>0</v>
      </c>
      <c r="S29" s="96"/>
      <c r="T29" s="94"/>
      <c r="U29" s="94"/>
      <c r="V29" s="94"/>
      <c r="W29" s="94"/>
      <c r="X29" s="96"/>
      <c r="Y29" s="96"/>
      <c r="Z29" s="96"/>
      <c r="AA29" s="96"/>
      <c r="AB29" s="96"/>
      <c r="AC29" s="96"/>
      <c r="AD29" s="94">
        <v>1.167</v>
      </c>
      <c r="AE29" s="96">
        <f t="shared" si="4"/>
        <v>1.177</v>
      </c>
    </row>
    <row r="30">
      <c r="A30" s="97">
        <f t="shared" si="3"/>
        <v>26</v>
      </c>
      <c r="B30" s="111">
        <v>50.0</v>
      </c>
      <c r="C30" s="111">
        <v>10000.0</v>
      </c>
      <c r="D30" s="66">
        <f t="shared" si="1"/>
        <v>613</v>
      </c>
      <c r="E30" s="66">
        <f t="shared" si="2"/>
        <v>78800</v>
      </c>
      <c r="F30" s="66"/>
      <c r="G30" s="66"/>
      <c r="H30" s="66"/>
      <c r="I30" s="66"/>
      <c r="J30" s="66"/>
      <c r="K30" s="66"/>
      <c r="L30" s="94"/>
      <c r="M30" s="95">
        <v>2.086</v>
      </c>
      <c r="N30" s="96"/>
      <c r="O30" s="96"/>
      <c r="P30" s="96"/>
      <c r="Q30" s="96"/>
      <c r="R30" s="96">
        <f t="shared" si="5"/>
        <v>0</v>
      </c>
      <c r="S30" s="96"/>
      <c r="T30" s="94"/>
      <c r="U30" s="94"/>
      <c r="V30" s="94"/>
      <c r="W30" s="94"/>
      <c r="X30" s="96"/>
      <c r="Y30" s="94">
        <v>2.57</v>
      </c>
      <c r="Z30" s="96"/>
      <c r="AA30" s="96"/>
      <c r="AB30" s="96"/>
      <c r="AC30" s="96"/>
      <c r="AD30" s="94">
        <v>1.172</v>
      </c>
      <c r="AE30" s="96">
        <f t="shared" si="4"/>
        <v>1.182</v>
      </c>
    </row>
    <row r="31">
      <c r="A31" s="97">
        <f t="shared" si="3"/>
        <v>27</v>
      </c>
      <c r="B31" s="66">
        <v>50.0</v>
      </c>
      <c r="C31" s="111">
        <v>10000.0</v>
      </c>
      <c r="D31" s="66">
        <f t="shared" si="1"/>
        <v>663</v>
      </c>
      <c r="E31" s="66">
        <f t="shared" si="2"/>
        <v>88800</v>
      </c>
      <c r="F31" s="66"/>
      <c r="G31" s="66"/>
      <c r="H31" s="66"/>
      <c r="I31" s="66"/>
      <c r="J31" s="66"/>
      <c r="K31" s="66"/>
      <c r="L31" s="96">
        <f t="shared" ref="L31:L49" si="6">M31-M30</f>
        <v>-2.086</v>
      </c>
      <c r="M31" s="94"/>
      <c r="N31" s="96"/>
      <c r="O31" s="96"/>
      <c r="P31" s="96"/>
      <c r="Q31" s="96"/>
      <c r="R31" s="96">
        <f t="shared" si="5"/>
        <v>0</v>
      </c>
      <c r="S31" s="96"/>
      <c r="T31" s="94"/>
      <c r="U31" s="94"/>
      <c r="V31" s="94"/>
      <c r="W31" s="94"/>
      <c r="X31" s="96"/>
      <c r="Y31" s="96"/>
      <c r="Z31" s="96"/>
      <c r="AA31" s="96"/>
      <c r="AB31" s="96"/>
      <c r="AC31" s="96"/>
      <c r="AD31" s="94">
        <v>1.177</v>
      </c>
      <c r="AE31" s="96">
        <f t="shared" si="4"/>
        <v>1.187</v>
      </c>
    </row>
    <row r="32">
      <c r="A32" s="97">
        <f t="shared" si="3"/>
        <v>28</v>
      </c>
      <c r="B32" s="66">
        <v>50.0</v>
      </c>
      <c r="C32" s="111">
        <v>10000.0</v>
      </c>
      <c r="D32" s="66">
        <f t="shared" si="1"/>
        <v>713</v>
      </c>
      <c r="E32" s="66">
        <f t="shared" si="2"/>
        <v>98800</v>
      </c>
      <c r="F32" s="66"/>
      <c r="G32" s="66"/>
      <c r="H32" s="66"/>
      <c r="I32" s="66"/>
      <c r="J32" s="66"/>
      <c r="K32" s="66"/>
      <c r="L32" s="96">
        <f t="shared" si="6"/>
        <v>0</v>
      </c>
      <c r="M32" s="94"/>
      <c r="N32" s="96"/>
      <c r="O32" s="96"/>
      <c r="P32" s="96"/>
      <c r="Q32" s="96"/>
      <c r="R32" s="96">
        <f t="shared" si="5"/>
        <v>0</v>
      </c>
      <c r="S32" s="96"/>
      <c r="T32" s="94"/>
      <c r="U32" s="94"/>
      <c r="V32" s="94"/>
      <c r="W32" s="94"/>
      <c r="X32" s="96"/>
      <c r="Y32" s="94">
        <v>2.73</v>
      </c>
      <c r="Z32" s="96"/>
      <c r="AA32" s="96"/>
      <c r="AB32" s="96"/>
      <c r="AC32" s="96"/>
      <c r="AD32" s="94">
        <v>1.182</v>
      </c>
      <c r="AE32" s="96">
        <f t="shared" si="4"/>
        <v>1.192</v>
      </c>
    </row>
    <row r="33">
      <c r="A33" s="97">
        <f t="shared" si="3"/>
        <v>29</v>
      </c>
      <c r="B33" s="66">
        <v>50.0</v>
      </c>
      <c r="C33" s="111">
        <v>10000.0</v>
      </c>
      <c r="D33" s="66">
        <f t="shared" si="1"/>
        <v>763</v>
      </c>
      <c r="E33" s="66">
        <f t="shared" si="2"/>
        <v>108800</v>
      </c>
      <c r="F33" s="66"/>
      <c r="G33" s="66"/>
      <c r="H33" s="66"/>
      <c r="I33" s="66"/>
      <c r="J33" s="66"/>
      <c r="K33" s="66"/>
      <c r="L33" s="96">
        <f t="shared" si="6"/>
        <v>0</v>
      </c>
      <c r="M33" s="94"/>
      <c r="N33" s="94"/>
      <c r="O33" s="96"/>
      <c r="P33" s="96"/>
      <c r="Q33" s="96"/>
      <c r="R33" s="96">
        <f t="shared" si="5"/>
        <v>0</v>
      </c>
      <c r="S33" s="94"/>
      <c r="T33" s="94"/>
      <c r="U33" s="94"/>
      <c r="V33" s="94"/>
      <c r="W33" s="94"/>
      <c r="X33" s="96"/>
      <c r="Y33" s="95">
        <v>1.724</v>
      </c>
      <c r="Z33" s="96"/>
      <c r="AA33" s="96"/>
      <c r="AB33" s="96"/>
      <c r="AC33" s="96"/>
      <c r="AD33" s="94">
        <v>1.187</v>
      </c>
      <c r="AE33" s="96">
        <f t="shared" si="4"/>
        <v>1.197</v>
      </c>
    </row>
    <row r="34">
      <c r="A34" s="97">
        <f t="shared" si="3"/>
        <v>30</v>
      </c>
      <c r="B34" s="66">
        <v>74.0</v>
      </c>
      <c r="C34" s="111">
        <v>10000.0</v>
      </c>
      <c r="D34" s="66">
        <f t="shared" si="1"/>
        <v>837</v>
      </c>
      <c r="E34" s="66">
        <f t="shared" si="2"/>
        <v>118800</v>
      </c>
      <c r="F34" s="66"/>
      <c r="G34" s="66"/>
      <c r="H34" s="66"/>
      <c r="I34" s="66"/>
      <c r="J34" s="66"/>
      <c r="K34" s="66"/>
      <c r="L34" s="96">
        <f t="shared" si="6"/>
        <v>0</v>
      </c>
      <c r="M34" s="94"/>
      <c r="N34" s="94"/>
      <c r="O34" s="96"/>
      <c r="P34" s="96"/>
      <c r="Q34" s="96"/>
      <c r="R34" s="96"/>
      <c r="S34" s="94"/>
      <c r="T34" s="94"/>
      <c r="U34" s="94"/>
      <c r="V34" s="94"/>
      <c r="W34" s="94"/>
      <c r="X34" s="96"/>
      <c r="Y34" s="94">
        <v>2.89</v>
      </c>
      <c r="Z34" s="96"/>
      <c r="AA34" s="96"/>
      <c r="AB34" s="96"/>
      <c r="AC34" s="96"/>
      <c r="AD34" s="94">
        <v>1.192</v>
      </c>
      <c r="AE34" s="96">
        <f t="shared" si="4"/>
        <v>1.202</v>
      </c>
    </row>
    <row r="35">
      <c r="A35" s="97">
        <f t="shared" si="3"/>
        <v>31</v>
      </c>
      <c r="B35" s="66">
        <v>74.0</v>
      </c>
      <c r="C35" s="111">
        <v>10000.0</v>
      </c>
      <c r="D35" s="66">
        <f t="shared" si="1"/>
        <v>911</v>
      </c>
      <c r="E35" s="66">
        <f t="shared" si="2"/>
        <v>128800</v>
      </c>
      <c r="F35" s="66"/>
      <c r="G35" s="66"/>
      <c r="H35" s="66"/>
      <c r="I35" s="66"/>
      <c r="J35" s="66"/>
      <c r="K35" s="66"/>
      <c r="L35" s="96">
        <f t="shared" si="6"/>
        <v>0</v>
      </c>
      <c r="M35" s="94"/>
      <c r="N35" s="94"/>
      <c r="O35" s="96"/>
      <c r="P35" s="96"/>
      <c r="Q35" s="96"/>
      <c r="R35" s="96"/>
      <c r="S35" s="94"/>
      <c r="T35" s="94"/>
      <c r="U35" s="94"/>
      <c r="V35" s="94"/>
      <c r="W35" s="94"/>
      <c r="X35" s="96"/>
      <c r="Y35" s="94">
        <v>2.97</v>
      </c>
      <c r="Z35" s="96"/>
      <c r="AA35" s="96"/>
      <c r="AB35" s="96"/>
      <c r="AC35" s="96"/>
      <c r="AD35" s="94">
        <v>1.197</v>
      </c>
      <c r="AE35" s="96">
        <f t="shared" si="4"/>
        <v>1.207</v>
      </c>
    </row>
    <row r="36">
      <c r="A36" s="97">
        <f t="shared" si="3"/>
        <v>32</v>
      </c>
      <c r="B36" s="66">
        <v>74.0</v>
      </c>
      <c r="C36" s="111">
        <v>10000.0</v>
      </c>
      <c r="D36" s="66">
        <f t="shared" si="1"/>
        <v>985</v>
      </c>
      <c r="E36" s="66">
        <f t="shared" si="2"/>
        <v>138800</v>
      </c>
      <c r="F36" s="66"/>
      <c r="G36" s="66"/>
      <c r="H36" s="66"/>
      <c r="I36" s="66"/>
      <c r="J36" s="66"/>
      <c r="K36" s="66"/>
      <c r="L36" s="96">
        <f t="shared" si="6"/>
        <v>0</v>
      </c>
      <c r="M36" s="94"/>
      <c r="N36" s="94"/>
      <c r="O36" s="96"/>
      <c r="P36" s="96"/>
      <c r="Q36" s="96"/>
      <c r="R36" s="96"/>
      <c r="S36" s="94"/>
      <c r="T36" s="94"/>
      <c r="U36" s="94"/>
      <c r="V36" s="94"/>
      <c r="W36" s="94"/>
      <c r="X36" s="96"/>
      <c r="Y36" s="94">
        <v>3.05</v>
      </c>
      <c r="Z36" s="96"/>
      <c r="AA36" s="96"/>
      <c r="AB36" s="96"/>
      <c r="AC36" s="96"/>
      <c r="AD36" s="94">
        <v>1.202</v>
      </c>
      <c r="AE36" s="96">
        <f t="shared" si="4"/>
        <v>1.212</v>
      </c>
    </row>
    <row r="37">
      <c r="A37" s="97">
        <f t="shared" si="3"/>
        <v>33</v>
      </c>
      <c r="B37" s="66">
        <v>74.0</v>
      </c>
      <c r="C37" s="111">
        <v>10000.0</v>
      </c>
      <c r="D37" s="66">
        <f t="shared" si="1"/>
        <v>1059</v>
      </c>
      <c r="E37" s="66">
        <f t="shared" si="2"/>
        <v>148800</v>
      </c>
      <c r="F37" s="66"/>
      <c r="G37" s="66"/>
      <c r="H37" s="66"/>
      <c r="I37" s="66"/>
      <c r="J37" s="66"/>
      <c r="K37" s="66"/>
      <c r="L37" s="96">
        <f t="shared" si="6"/>
        <v>2.661</v>
      </c>
      <c r="M37" s="95">
        <v>2.661</v>
      </c>
      <c r="N37" s="94"/>
      <c r="O37" s="96"/>
      <c r="P37" s="96"/>
      <c r="Q37" s="96"/>
      <c r="R37" s="96"/>
      <c r="S37" s="94"/>
      <c r="T37" s="94"/>
      <c r="U37" s="94"/>
      <c r="V37" s="94"/>
      <c r="W37" s="94"/>
      <c r="X37" s="96"/>
      <c r="Y37" s="95">
        <v>1.852</v>
      </c>
      <c r="Z37" s="96"/>
      <c r="AA37" s="96"/>
      <c r="AB37" s="96"/>
      <c r="AC37" s="96"/>
      <c r="AD37" s="94">
        <v>1.207</v>
      </c>
      <c r="AE37" s="94">
        <v>1.217</v>
      </c>
    </row>
    <row r="38">
      <c r="A38" s="97">
        <f t="shared" si="3"/>
        <v>34</v>
      </c>
      <c r="B38" s="66">
        <v>74.0</v>
      </c>
      <c r="C38" s="111">
        <v>17000.0</v>
      </c>
      <c r="D38" s="66">
        <f t="shared" si="1"/>
        <v>1133</v>
      </c>
      <c r="E38" s="66">
        <f t="shared" si="2"/>
        <v>165800</v>
      </c>
      <c r="F38" s="66"/>
      <c r="G38" s="66"/>
      <c r="H38" s="66"/>
      <c r="I38" s="66"/>
      <c r="J38" s="66"/>
      <c r="K38" s="66"/>
      <c r="L38" s="96">
        <f t="shared" si="6"/>
        <v>-2.661</v>
      </c>
      <c r="M38" s="94"/>
      <c r="N38" s="94"/>
      <c r="O38" s="96"/>
      <c r="P38" s="96"/>
      <c r="Q38" s="96"/>
      <c r="R38" s="96"/>
      <c r="S38" s="94"/>
      <c r="T38" s="96"/>
      <c r="U38" s="94"/>
      <c r="V38" s="94"/>
      <c r="W38" s="94"/>
      <c r="X38" s="96"/>
      <c r="Y38" s="94"/>
      <c r="Z38" s="96"/>
      <c r="AA38" s="96"/>
      <c r="AB38" s="96"/>
      <c r="AC38" s="96"/>
      <c r="AD38" s="94">
        <v>1.212</v>
      </c>
      <c r="AE38" s="96">
        <f t="shared" ref="AE38:AE76" si="7">AD38+0.01</f>
        <v>1.222</v>
      </c>
    </row>
    <row r="39">
      <c r="A39" s="97">
        <f t="shared" si="3"/>
        <v>35</v>
      </c>
      <c r="B39" s="66">
        <v>89.0</v>
      </c>
      <c r="C39" s="111">
        <v>17000.0</v>
      </c>
      <c r="D39" s="66">
        <f t="shared" si="1"/>
        <v>1222</v>
      </c>
      <c r="E39" s="66">
        <f t="shared" si="2"/>
        <v>182800</v>
      </c>
      <c r="F39" s="66"/>
      <c r="G39" s="66"/>
      <c r="H39" s="66"/>
      <c r="I39" s="66"/>
      <c r="J39" s="66"/>
      <c r="K39" s="66"/>
      <c r="L39" s="96">
        <f t="shared" si="6"/>
        <v>0</v>
      </c>
      <c r="M39" s="94"/>
      <c r="N39" s="96"/>
      <c r="O39" s="96"/>
      <c r="P39" s="96"/>
      <c r="Q39" s="96"/>
      <c r="R39" s="96"/>
      <c r="S39" s="95">
        <v>2.362</v>
      </c>
      <c r="T39" s="96"/>
      <c r="U39" s="94"/>
      <c r="V39" s="94"/>
      <c r="W39" s="94"/>
      <c r="X39" s="96"/>
      <c r="Y39" s="94">
        <f>Y40-X41</f>
        <v>1.92</v>
      </c>
      <c r="Z39" s="94"/>
      <c r="AA39" s="96"/>
      <c r="AB39" s="96"/>
      <c r="AC39" s="96">
        <f t="shared" ref="AC39:AC65" si="8">AD39-AD38</f>
        <v>0.005</v>
      </c>
      <c r="AD39" s="95">
        <v>1.217</v>
      </c>
      <c r="AE39" s="99">
        <f t="shared" si="7"/>
        <v>1.227</v>
      </c>
    </row>
    <row r="40">
      <c r="A40" s="97">
        <f t="shared" si="3"/>
        <v>36</v>
      </c>
      <c r="B40" s="66">
        <v>89.0</v>
      </c>
      <c r="C40" s="111">
        <v>17000.0</v>
      </c>
      <c r="D40" s="66">
        <f t="shared" si="1"/>
        <v>1311</v>
      </c>
      <c r="E40" s="66">
        <f t="shared" si="2"/>
        <v>199800</v>
      </c>
      <c r="F40" s="66"/>
      <c r="G40" s="66"/>
      <c r="H40" s="66"/>
      <c r="I40" s="66"/>
      <c r="J40" s="66"/>
      <c r="K40" s="66"/>
      <c r="L40" s="96">
        <f t="shared" si="6"/>
        <v>0</v>
      </c>
      <c r="M40" s="94"/>
      <c r="N40" s="96"/>
      <c r="O40" s="96"/>
      <c r="P40" s="96"/>
      <c r="Q40" s="96"/>
      <c r="R40" s="96"/>
      <c r="S40" s="96"/>
      <c r="T40" s="96"/>
      <c r="U40" s="94"/>
      <c r="V40" s="94"/>
      <c r="W40" s="94"/>
      <c r="X40" s="96">
        <f t="shared" ref="X40:X43" si="9">Y40-Y39</f>
        <v>0.036</v>
      </c>
      <c r="Y40" s="95">
        <v>1.956</v>
      </c>
      <c r="Z40" s="94"/>
      <c r="AA40" s="96"/>
      <c r="AB40" s="96"/>
      <c r="AC40" s="96">
        <f t="shared" si="8"/>
        <v>0.005</v>
      </c>
      <c r="AD40" s="95">
        <v>1.222</v>
      </c>
      <c r="AE40" s="99">
        <f t="shared" si="7"/>
        <v>1.232</v>
      </c>
    </row>
    <row r="41">
      <c r="A41" s="97">
        <f t="shared" si="3"/>
        <v>37</v>
      </c>
      <c r="B41" s="66">
        <v>89.0</v>
      </c>
      <c r="C41" s="111">
        <v>17000.0</v>
      </c>
      <c r="D41" s="66">
        <f t="shared" si="1"/>
        <v>1400</v>
      </c>
      <c r="E41" s="66">
        <f t="shared" si="2"/>
        <v>216800</v>
      </c>
      <c r="F41" s="66"/>
      <c r="G41" s="66"/>
      <c r="H41" s="66"/>
      <c r="I41" s="66"/>
      <c r="J41" s="66"/>
      <c r="K41" s="66"/>
      <c r="L41" s="96">
        <f t="shared" si="6"/>
        <v>3.151</v>
      </c>
      <c r="M41" s="95">
        <f t="shared" ref="M41:M42" si="10">N41-0.01</f>
        <v>3.151</v>
      </c>
      <c r="N41" s="95">
        <v>3.161</v>
      </c>
      <c r="O41" s="94"/>
      <c r="P41" s="94"/>
      <c r="Q41" s="96"/>
      <c r="R41" s="96"/>
      <c r="S41" s="96"/>
      <c r="T41" s="96"/>
      <c r="U41" s="94"/>
      <c r="V41" s="94"/>
      <c r="W41" s="94"/>
      <c r="X41" s="96">
        <f t="shared" si="9"/>
        <v>0.036</v>
      </c>
      <c r="Y41" s="95">
        <v>1.992</v>
      </c>
      <c r="Z41" s="94"/>
      <c r="AA41" s="96"/>
      <c r="AB41" s="96"/>
      <c r="AC41" s="96">
        <f t="shared" si="8"/>
        <v>0.005</v>
      </c>
      <c r="AD41" s="95">
        <v>1.227</v>
      </c>
      <c r="AE41" s="99">
        <f t="shared" si="7"/>
        <v>1.237</v>
      </c>
    </row>
    <row r="42">
      <c r="A42" s="97">
        <f t="shared" si="3"/>
        <v>38</v>
      </c>
      <c r="B42" s="66">
        <v>89.0</v>
      </c>
      <c r="C42" s="111">
        <v>17000.0</v>
      </c>
      <c r="D42" s="66">
        <f t="shared" si="1"/>
        <v>1489</v>
      </c>
      <c r="E42" s="66">
        <f t="shared" si="2"/>
        <v>233800</v>
      </c>
      <c r="F42" s="66"/>
      <c r="G42" s="66"/>
      <c r="H42" s="66"/>
      <c r="I42" s="66"/>
      <c r="J42" s="66"/>
      <c r="K42" s="66"/>
      <c r="L42" s="96">
        <f t="shared" si="6"/>
        <v>0.072</v>
      </c>
      <c r="M42" s="95">
        <f t="shared" si="10"/>
        <v>3.223</v>
      </c>
      <c r="N42" s="95">
        <v>3.233</v>
      </c>
      <c r="O42" s="94"/>
      <c r="P42" s="94"/>
      <c r="Q42" s="96"/>
      <c r="R42" s="96"/>
      <c r="S42" s="95">
        <v>3.008</v>
      </c>
      <c r="T42" s="95">
        <v>3.033</v>
      </c>
      <c r="U42" s="99">
        <f t="shared" ref="U42:U57" si="11">T42+0.05</f>
        <v>3.083</v>
      </c>
      <c r="V42" s="94"/>
      <c r="W42" s="94"/>
      <c r="X42" s="96">
        <f t="shared" si="9"/>
        <v>0.036</v>
      </c>
      <c r="Y42" s="94">
        <f t="shared" ref="Y42:Y43" si="12">Y41+X41</f>
        <v>2.028</v>
      </c>
      <c r="Z42" s="94"/>
      <c r="AA42" s="96"/>
      <c r="AB42" s="96"/>
      <c r="AC42" s="96">
        <f t="shared" si="8"/>
        <v>0.005</v>
      </c>
      <c r="AD42" s="95">
        <v>1.232</v>
      </c>
      <c r="AE42" s="99">
        <f t="shared" si="7"/>
        <v>1.242</v>
      </c>
    </row>
    <row r="43">
      <c r="A43" s="97">
        <f t="shared" si="3"/>
        <v>39</v>
      </c>
      <c r="B43" s="66">
        <v>89.0</v>
      </c>
      <c r="C43" s="111">
        <v>30000.0</v>
      </c>
      <c r="D43" s="66">
        <f t="shared" si="1"/>
        <v>1578</v>
      </c>
      <c r="E43" s="66">
        <f t="shared" si="2"/>
        <v>263800</v>
      </c>
      <c r="F43" s="66"/>
      <c r="G43" s="66"/>
      <c r="H43" s="66"/>
      <c r="I43" s="66"/>
      <c r="J43" s="66"/>
      <c r="K43" s="66"/>
      <c r="L43" s="96">
        <f t="shared" si="6"/>
        <v>0.073</v>
      </c>
      <c r="M43" s="95">
        <v>3.296</v>
      </c>
      <c r="N43" s="95">
        <v>3.305</v>
      </c>
      <c r="O43" s="94"/>
      <c r="P43" s="94"/>
      <c r="Q43" s="96"/>
      <c r="R43" s="96"/>
      <c r="S43" s="96"/>
      <c r="T43" s="96"/>
      <c r="U43" s="96">
        <f t="shared" si="11"/>
        <v>0.05</v>
      </c>
      <c r="V43" s="94"/>
      <c r="W43" s="94"/>
      <c r="X43" s="96">
        <f t="shared" si="9"/>
        <v>0.036</v>
      </c>
      <c r="Y43" s="94">
        <f t="shared" si="12"/>
        <v>2.064</v>
      </c>
      <c r="Z43" s="94"/>
      <c r="AA43" s="96"/>
      <c r="AB43" s="96"/>
      <c r="AC43" s="96">
        <f t="shared" si="8"/>
        <v>0.005</v>
      </c>
      <c r="AD43" s="95">
        <v>1.237</v>
      </c>
      <c r="AE43" s="99">
        <f t="shared" si="7"/>
        <v>1.247</v>
      </c>
    </row>
    <row r="44">
      <c r="A44" s="97">
        <f t="shared" si="3"/>
        <v>40</v>
      </c>
      <c r="B44" s="66">
        <v>89.0</v>
      </c>
      <c r="C44" s="111">
        <v>30000.0</v>
      </c>
      <c r="D44" s="66">
        <f t="shared" si="1"/>
        <v>1667</v>
      </c>
      <c r="E44" s="66">
        <f t="shared" si="2"/>
        <v>293800</v>
      </c>
      <c r="F44" s="66"/>
      <c r="G44" s="66"/>
      <c r="H44" s="66"/>
      <c r="I44" s="66"/>
      <c r="J44" s="66"/>
      <c r="K44" s="66"/>
      <c r="L44" s="96">
        <f t="shared" si="6"/>
        <v>0.076</v>
      </c>
      <c r="M44" s="95">
        <v>3.372</v>
      </c>
      <c r="N44" s="95">
        <v>3.381</v>
      </c>
      <c r="O44" s="94"/>
      <c r="P44" s="94"/>
      <c r="Q44" s="96"/>
      <c r="R44" s="96"/>
      <c r="S44" s="96"/>
      <c r="T44" s="96"/>
      <c r="U44" s="96">
        <f t="shared" si="11"/>
        <v>0.05</v>
      </c>
      <c r="V44" s="94"/>
      <c r="W44" s="94"/>
      <c r="X44" s="96"/>
      <c r="Y44" s="94"/>
      <c r="Z44" s="94"/>
      <c r="AA44" s="96"/>
      <c r="AB44" s="96"/>
      <c r="AC44" s="96">
        <f t="shared" si="8"/>
        <v>0.005</v>
      </c>
      <c r="AD44" s="95">
        <v>1.242</v>
      </c>
      <c r="AE44" s="99">
        <f t="shared" si="7"/>
        <v>1.252</v>
      </c>
    </row>
    <row r="45">
      <c r="A45" s="97">
        <f t="shared" si="3"/>
        <v>41</v>
      </c>
      <c r="B45" s="111">
        <v>119.0</v>
      </c>
      <c r="C45" s="111">
        <v>30000.0</v>
      </c>
      <c r="D45" s="104">
        <f t="shared" si="1"/>
        <v>1786</v>
      </c>
      <c r="E45" s="104">
        <f t="shared" si="2"/>
        <v>323800</v>
      </c>
      <c r="F45" s="104"/>
      <c r="G45" s="104"/>
      <c r="H45" s="104"/>
      <c r="I45" s="104"/>
      <c r="J45" s="104"/>
      <c r="K45" s="104"/>
      <c r="L45" s="96">
        <f t="shared" si="6"/>
        <v>0.076</v>
      </c>
      <c r="M45" s="99">
        <f>M44+L44</f>
        <v>3.448</v>
      </c>
      <c r="N45" s="95">
        <v>3.458</v>
      </c>
      <c r="O45" s="94"/>
      <c r="P45" s="94"/>
      <c r="Q45" s="96"/>
      <c r="R45" s="96"/>
      <c r="S45" s="96"/>
      <c r="T45" s="96"/>
      <c r="U45" s="96">
        <f t="shared" si="11"/>
        <v>0.05</v>
      </c>
      <c r="V45" s="95">
        <v>3.882</v>
      </c>
      <c r="W45" s="94"/>
      <c r="X45" s="94">
        <v>0.05</v>
      </c>
      <c r="Y45" s="95">
        <v>2.43</v>
      </c>
      <c r="Z45" s="95">
        <v>2.44</v>
      </c>
      <c r="AA45" s="96"/>
      <c r="AB45" s="96"/>
      <c r="AC45" s="96">
        <f t="shared" si="8"/>
        <v>0.005</v>
      </c>
      <c r="AD45" s="95">
        <v>1.247</v>
      </c>
      <c r="AE45" s="99">
        <f t="shared" si="7"/>
        <v>1.257</v>
      </c>
      <c r="AF45" s="8">
        <v>1.272</v>
      </c>
    </row>
    <row r="46">
      <c r="A46" s="97">
        <f t="shared" si="3"/>
        <v>42</v>
      </c>
      <c r="B46" s="111">
        <v>119.0</v>
      </c>
      <c r="C46" s="111">
        <v>30000.0</v>
      </c>
      <c r="D46" s="66">
        <f t="shared" si="1"/>
        <v>1905</v>
      </c>
      <c r="E46" s="66">
        <f t="shared" si="2"/>
        <v>353800</v>
      </c>
      <c r="F46" s="66"/>
      <c r="G46" s="66"/>
      <c r="H46" s="66"/>
      <c r="I46" s="66"/>
      <c r="J46" s="66"/>
      <c r="K46" s="66"/>
      <c r="L46" s="96">
        <f t="shared" si="6"/>
        <v>0.077</v>
      </c>
      <c r="M46" s="95">
        <v>3.525</v>
      </c>
      <c r="N46" s="95">
        <v>3.534</v>
      </c>
      <c r="O46" s="94"/>
      <c r="P46" s="94"/>
      <c r="Q46" s="96"/>
      <c r="R46" s="96">
        <f>V46-V45</f>
        <v>0.083</v>
      </c>
      <c r="S46" s="99">
        <f>T46-0.031</f>
        <v>3.839</v>
      </c>
      <c r="T46" s="95">
        <v>3.87</v>
      </c>
      <c r="U46" s="99">
        <f t="shared" si="11"/>
        <v>3.92</v>
      </c>
      <c r="V46" s="95">
        <f>U46+0.045</f>
        <v>3.965</v>
      </c>
      <c r="W46" s="95">
        <f>V46+0.05</f>
        <v>4.015</v>
      </c>
      <c r="X46" s="94">
        <v>0.05</v>
      </c>
      <c r="Y46" s="95">
        <f>Y45+X45</f>
        <v>2.48</v>
      </c>
      <c r="Z46" s="94"/>
      <c r="AA46" s="96"/>
      <c r="AB46" s="96"/>
      <c r="AC46" s="96">
        <f t="shared" si="8"/>
        <v>0.005</v>
      </c>
      <c r="AD46" s="95">
        <v>1.252</v>
      </c>
      <c r="AE46" s="99">
        <f t="shared" si="7"/>
        <v>1.262</v>
      </c>
    </row>
    <row r="47">
      <c r="A47" s="97">
        <f t="shared" si="3"/>
        <v>43</v>
      </c>
      <c r="B47" s="111">
        <v>119.0</v>
      </c>
      <c r="C47" s="111">
        <v>30000.0</v>
      </c>
      <c r="D47" s="66">
        <f t="shared" si="1"/>
        <v>2024</v>
      </c>
      <c r="E47" s="66">
        <f t="shared" si="2"/>
        <v>383800</v>
      </c>
      <c r="F47" s="66"/>
      <c r="G47" s="66"/>
      <c r="H47" s="66"/>
      <c r="I47" s="66"/>
      <c r="J47" s="66"/>
      <c r="K47" s="66"/>
      <c r="L47" s="96">
        <f t="shared" si="6"/>
        <v>0.076</v>
      </c>
      <c r="M47" s="99">
        <f t="shared" ref="M47:M49" si="13">N47-0.01</f>
        <v>3.601</v>
      </c>
      <c r="N47" s="95">
        <v>3.611</v>
      </c>
      <c r="O47" s="94"/>
      <c r="P47" s="94"/>
      <c r="Q47" s="96"/>
      <c r="R47" s="96"/>
      <c r="S47" s="96"/>
      <c r="T47" s="96"/>
      <c r="U47" s="96">
        <f t="shared" si="11"/>
        <v>0.05</v>
      </c>
      <c r="V47" s="94"/>
      <c r="W47" s="94"/>
      <c r="X47" s="94">
        <f t="shared" ref="X47:X55" si="14">Y47-Y46</f>
        <v>0.05</v>
      </c>
      <c r="Y47" s="95">
        <v>2.53</v>
      </c>
      <c r="Z47" s="96"/>
      <c r="AA47" s="96"/>
      <c r="AB47" s="96"/>
      <c r="AC47" s="96">
        <f t="shared" si="8"/>
        <v>0.005</v>
      </c>
      <c r="AD47" s="99">
        <f t="shared" ref="AD47:AD62" si="15">AD46+0.005</f>
        <v>1.257</v>
      </c>
      <c r="AE47" s="99">
        <f t="shared" si="7"/>
        <v>1.267</v>
      </c>
    </row>
    <row r="48">
      <c r="A48" s="97">
        <f t="shared" si="3"/>
        <v>44</v>
      </c>
      <c r="B48" s="111">
        <v>119.0</v>
      </c>
      <c r="C48" s="111">
        <v>30000.0</v>
      </c>
      <c r="D48" s="66">
        <f t="shared" si="1"/>
        <v>2143</v>
      </c>
      <c r="E48" s="66">
        <f t="shared" si="2"/>
        <v>413800</v>
      </c>
      <c r="F48" s="66"/>
      <c r="G48" s="66"/>
      <c r="H48" s="66"/>
      <c r="I48" s="66"/>
      <c r="J48" s="66"/>
      <c r="K48" s="66"/>
      <c r="L48" s="96">
        <f t="shared" si="6"/>
        <v>0.076</v>
      </c>
      <c r="M48" s="99">
        <f t="shared" si="13"/>
        <v>3.677</v>
      </c>
      <c r="N48" s="95">
        <v>3.687</v>
      </c>
      <c r="O48" s="94"/>
      <c r="P48" s="94"/>
      <c r="Q48" s="96"/>
      <c r="R48" s="96"/>
      <c r="S48" s="96"/>
      <c r="T48" s="96"/>
      <c r="U48" s="96">
        <f t="shared" si="11"/>
        <v>0.05</v>
      </c>
      <c r="V48" s="94"/>
      <c r="W48" s="94"/>
      <c r="X48" s="94">
        <f t="shared" si="14"/>
        <v>0.05</v>
      </c>
      <c r="Y48" s="95">
        <v>2.58</v>
      </c>
      <c r="Z48" s="96"/>
      <c r="AA48" s="96"/>
      <c r="AB48" s="96"/>
      <c r="AC48" s="96">
        <f t="shared" si="8"/>
        <v>0.005</v>
      </c>
      <c r="AD48" s="99">
        <f t="shared" si="15"/>
        <v>1.262</v>
      </c>
      <c r="AE48" s="99">
        <f t="shared" si="7"/>
        <v>1.272</v>
      </c>
    </row>
    <row r="49">
      <c r="A49" s="97">
        <f t="shared" si="3"/>
        <v>45</v>
      </c>
      <c r="B49" s="111">
        <v>119.0</v>
      </c>
      <c r="C49" s="111">
        <v>30000.0</v>
      </c>
      <c r="D49" s="66">
        <f t="shared" si="1"/>
        <v>2262</v>
      </c>
      <c r="E49" s="66">
        <f t="shared" si="2"/>
        <v>443800</v>
      </c>
      <c r="F49" s="66"/>
      <c r="G49" s="66"/>
      <c r="H49" s="66"/>
      <c r="I49" s="66"/>
      <c r="J49" s="66"/>
      <c r="K49" s="66"/>
      <c r="L49" s="96">
        <f t="shared" si="6"/>
        <v>0.077</v>
      </c>
      <c r="M49" s="99">
        <f t="shared" si="13"/>
        <v>3.754</v>
      </c>
      <c r="N49" s="95">
        <v>3.764</v>
      </c>
      <c r="O49" s="94"/>
      <c r="P49" s="94"/>
      <c r="Q49" s="96"/>
      <c r="R49" s="96"/>
      <c r="S49" s="96"/>
      <c r="T49" s="96"/>
      <c r="U49" s="96">
        <f t="shared" si="11"/>
        <v>0.05</v>
      </c>
      <c r="V49" s="96"/>
      <c r="W49" s="96"/>
      <c r="X49" s="94">
        <f t="shared" si="14"/>
        <v>0.05</v>
      </c>
      <c r="Y49" s="95">
        <v>2.63</v>
      </c>
      <c r="Z49" s="96"/>
      <c r="AA49" s="96"/>
      <c r="AB49" s="96"/>
      <c r="AC49" s="96">
        <f t="shared" si="8"/>
        <v>0.005</v>
      </c>
      <c r="AD49" s="99">
        <f t="shared" si="15"/>
        <v>1.267</v>
      </c>
      <c r="AE49" s="99">
        <f t="shared" si="7"/>
        <v>1.277</v>
      </c>
    </row>
    <row r="50">
      <c r="A50" s="97">
        <f t="shared" si="3"/>
        <v>46</v>
      </c>
      <c r="B50" s="111">
        <v>119.0</v>
      </c>
      <c r="C50" s="111">
        <v>30000.0</v>
      </c>
      <c r="D50" s="66">
        <f t="shared" si="1"/>
        <v>2381</v>
      </c>
      <c r="E50" s="66">
        <f t="shared" si="2"/>
        <v>473800</v>
      </c>
      <c r="F50" s="66"/>
      <c r="G50" s="66"/>
      <c r="H50" s="66"/>
      <c r="I50" s="66"/>
      <c r="J50" s="66"/>
      <c r="K50" s="66"/>
      <c r="L50" s="94"/>
      <c r="M50" s="96"/>
      <c r="N50" s="96"/>
      <c r="O50" s="94"/>
      <c r="P50" s="94"/>
      <c r="Q50" s="96"/>
      <c r="R50" s="96"/>
      <c r="S50" s="96"/>
      <c r="T50" s="96"/>
      <c r="U50" s="96">
        <f t="shared" si="11"/>
        <v>0.05</v>
      </c>
      <c r="V50" s="96"/>
      <c r="W50" s="96"/>
      <c r="X50" s="94">
        <f t="shared" si="14"/>
        <v>0.05</v>
      </c>
      <c r="Y50" s="95">
        <v>2.68</v>
      </c>
      <c r="Z50" s="96"/>
      <c r="AA50" s="96"/>
      <c r="AB50" s="96"/>
      <c r="AC50" s="96">
        <f t="shared" si="8"/>
        <v>0.005</v>
      </c>
      <c r="AD50" s="99">
        <f t="shared" si="15"/>
        <v>1.272</v>
      </c>
      <c r="AE50" s="99">
        <f t="shared" si="7"/>
        <v>1.282</v>
      </c>
    </row>
    <row r="51">
      <c r="A51" s="97">
        <f t="shared" si="3"/>
        <v>47</v>
      </c>
      <c r="B51" s="111">
        <v>119.0</v>
      </c>
      <c r="C51" s="111">
        <v>30000.0</v>
      </c>
      <c r="D51" s="66">
        <f t="shared" si="1"/>
        <v>2500</v>
      </c>
      <c r="E51" s="66">
        <f t="shared" si="2"/>
        <v>503800</v>
      </c>
      <c r="F51" s="66"/>
      <c r="G51" s="66"/>
      <c r="H51" s="66"/>
      <c r="I51" s="66"/>
      <c r="J51" s="66"/>
      <c r="K51" s="66"/>
      <c r="L51" s="96"/>
      <c r="M51" s="96"/>
      <c r="N51" s="96"/>
      <c r="O51" s="94"/>
      <c r="P51" s="94"/>
      <c r="Q51" s="96"/>
      <c r="R51" s="96"/>
      <c r="S51" s="96"/>
      <c r="T51" s="96"/>
      <c r="U51" s="96">
        <f t="shared" si="11"/>
        <v>0.05</v>
      </c>
      <c r="V51" s="96"/>
      <c r="W51" s="96"/>
      <c r="X51" s="94">
        <f t="shared" si="14"/>
        <v>0.05</v>
      </c>
      <c r="Y51" s="95">
        <v>2.73</v>
      </c>
      <c r="Z51" s="96"/>
      <c r="AA51" s="96"/>
      <c r="AB51" s="96"/>
      <c r="AC51" s="96">
        <f t="shared" si="8"/>
        <v>0.005</v>
      </c>
      <c r="AD51" s="99">
        <f t="shared" si="15"/>
        <v>1.277</v>
      </c>
      <c r="AE51" s="99">
        <f t="shared" si="7"/>
        <v>1.287</v>
      </c>
    </row>
    <row r="52">
      <c r="A52" s="97">
        <f t="shared" si="3"/>
        <v>48</v>
      </c>
      <c r="B52" s="111">
        <v>119.0</v>
      </c>
      <c r="C52" s="111">
        <v>30000.0</v>
      </c>
      <c r="D52" s="66">
        <f t="shared" si="1"/>
        <v>2619</v>
      </c>
      <c r="E52" s="66">
        <f t="shared" si="2"/>
        <v>533800</v>
      </c>
      <c r="F52" s="66"/>
      <c r="G52" s="66"/>
      <c r="H52" s="66"/>
      <c r="I52" s="66"/>
      <c r="J52" s="66"/>
      <c r="K52" s="66"/>
      <c r="L52" s="96"/>
      <c r="M52" s="96"/>
      <c r="N52" s="96"/>
      <c r="O52" s="94"/>
      <c r="P52" s="94"/>
      <c r="Q52" s="96"/>
      <c r="R52" s="96"/>
      <c r="S52" s="96"/>
      <c r="T52" s="96"/>
      <c r="U52" s="96">
        <f t="shared" si="11"/>
        <v>0.05</v>
      </c>
      <c r="V52" s="96"/>
      <c r="W52" s="96"/>
      <c r="X52" s="94">
        <f t="shared" si="14"/>
        <v>0.05</v>
      </c>
      <c r="Y52" s="95">
        <v>2.78</v>
      </c>
      <c r="Z52" s="96"/>
      <c r="AA52" s="96"/>
      <c r="AB52" s="96"/>
      <c r="AC52" s="96">
        <f t="shared" si="8"/>
        <v>0.005</v>
      </c>
      <c r="AD52" s="99">
        <f t="shared" si="15"/>
        <v>1.282</v>
      </c>
      <c r="AE52" s="99">
        <f t="shared" si="7"/>
        <v>1.292</v>
      </c>
    </row>
    <row r="53">
      <c r="A53" s="97">
        <f t="shared" si="3"/>
        <v>49</v>
      </c>
      <c r="B53" s="111">
        <v>119.0</v>
      </c>
      <c r="C53" s="111">
        <v>30000.0</v>
      </c>
      <c r="D53" s="66">
        <f t="shared" si="1"/>
        <v>2738</v>
      </c>
      <c r="E53" s="66">
        <f t="shared" si="2"/>
        <v>563800</v>
      </c>
      <c r="F53" s="66"/>
      <c r="G53" s="66"/>
      <c r="H53" s="66"/>
      <c r="I53" s="66"/>
      <c r="J53" s="66"/>
      <c r="K53" s="66"/>
      <c r="L53" s="96"/>
      <c r="M53" s="96"/>
      <c r="N53" s="96"/>
      <c r="O53" s="96"/>
      <c r="P53" s="96"/>
      <c r="Q53" s="96"/>
      <c r="R53" s="96"/>
      <c r="S53" s="96"/>
      <c r="T53" s="96"/>
      <c r="U53" s="96">
        <f t="shared" si="11"/>
        <v>0.05</v>
      </c>
      <c r="V53" s="96"/>
      <c r="W53" s="96"/>
      <c r="X53" s="94">
        <f t="shared" si="14"/>
        <v>0.05</v>
      </c>
      <c r="Y53" s="95">
        <v>2.83</v>
      </c>
      <c r="Z53" s="96"/>
      <c r="AA53" s="96"/>
      <c r="AB53" s="96"/>
      <c r="AC53" s="96">
        <f t="shared" si="8"/>
        <v>0.005</v>
      </c>
      <c r="AD53" s="99">
        <f t="shared" si="15"/>
        <v>1.287</v>
      </c>
      <c r="AE53" s="99">
        <f t="shared" si="7"/>
        <v>1.297</v>
      </c>
    </row>
    <row r="54">
      <c r="A54" s="97">
        <f t="shared" si="3"/>
        <v>50</v>
      </c>
      <c r="B54" s="111">
        <v>178.0</v>
      </c>
      <c r="C54" s="111">
        <v>75000.0</v>
      </c>
      <c r="D54" s="66">
        <f t="shared" si="1"/>
        <v>2916</v>
      </c>
      <c r="E54" s="66">
        <f t="shared" si="2"/>
        <v>638800</v>
      </c>
      <c r="F54" s="66"/>
      <c r="G54" s="66"/>
      <c r="H54" s="66"/>
      <c r="I54" s="66"/>
      <c r="J54" s="66"/>
      <c r="K54" s="66"/>
      <c r="L54" s="96"/>
      <c r="M54" s="96"/>
      <c r="N54" s="96"/>
      <c r="O54" s="96"/>
      <c r="P54" s="96"/>
      <c r="Q54" s="96"/>
      <c r="R54" s="96"/>
      <c r="S54" s="96"/>
      <c r="T54" s="96"/>
      <c r="U54" s="96">
        <f t="shared" si="11"/>
        <v>0.05</v>
      </c>
      <c r="V54" s="96"/>
      <c r="W54" s="96"/>
      <c r="X54" s="94">
        <f t="shared" si="14"/>
        <v>0.06</v>
      </c>
      <c r="Y54" s="95">
        <v>2.89</v>
      </c>
      <c r="Z54" s="96"/>
      <c r="AA54" s="96"/>
      <c r="AB54" s="96"/>
      <c r="AC54" s="96">
        <f t="shared" si="8"/>
        <v>0.005</v>
      </c>
      <c r="AD54" s="99">
        <f t="shared" si="15"/>
        <v>1.292</v>
      </c>
      <c r="AE54" s="99">
        <f t="shared" si="7"/>
        <v>1.302</v>
      </c>
    </row>
    <row r="55">
      <c r="A55" s="97">
        <f t="shared" si="3"/>
        <v>51</v>
      </c>
      <c r="B55" s="111">
        <v>178.0</v>
      </c>
      <c r="C55" s="111">
        <v>75000.0</v>
      </c>
      <c r="D55" s="66">
        <f t="shared" si="1"/>
        <v>3094</v>
      </c>
      <c r="E55" s="66">
        <f t="shared" si="2"/>
        <v>713800</v>
      </c>
      <c r="F55" s="66"/>
      <c r="G55" s="66"/>
      <c r="H55" s="66"/>
      <c r="I55" s="66"/>
      <c r="J55" s="66"/>
      <c r="K55" s="66"/>
      <c r="L55" s="96"/>
      <c r="M55" s="96"/>
      <c r="N55" s="96"/>
      <c r="O55" s="96"/>
      <c r="P55" s="96"/>
      <c r="Q55" s="96"/>
      <c r="R55" s="96"/>
      <c r="S55" s="96"/>
      <c r="T55" s="96"/>
      <c r="U55" s="96">
        <f t="shared" si="11"/>
        <v>0.05</v>
      </c>
      <c r="V55" s="96"/>
      <c r="W55" s="96"/>
      <c r="X55" s="94">
        <f t="shared" si="14"/>
        <v>-2.89</v>
      </c>
      <c r="Y55" s="96"/>
      <c r="Z55" s="96"/>
      <c r="AA55" s="94"/>
      <c r="AB55" s="94"/>
      <c r="AC55" s="96">
        <f t="shared" si="8"/>
        <v>0.005</v>
      </c>
      <c r="AD55" s="99">
        <f t="shared" si="15"/>
        <v>1.297</v>
      </c>
      <c r="AE55" s="99">
        <f t="shared" si="7"/>
        <v>1.307</v>
      </c>
    </row>
    <row r="56">
      <c r="A56" s="97">
        <f t="shared" si="3"/>
        <v>52</v>
      </c>
      <c r="B56" s="111">
        <v>178.0</v>
      </c>
      <c r="C56" s="111">
        <v>75000.0</v>
      </c>
      <c r="D56" s="66">
        <f t="shared" si="1"/>
        <v>3272</v>
      </c>
      <c r="E56" s="66">
        <f t="shared" si="2"/>
        <v>788800</v>
      </c>
      <c r="F56" s="66"/>
      <c r="G56" s="66"/>
      <c r="H56" s="66"/>
      <c r="I56" s="66"/>
      <c r="J56" s="66"/>
      <c r="K56" s="66"/>
      <c r="L56" s="96"/>
      <c r="M56" s="96"/>
      <c r="N56" s="96"/>
      <c r="O56" s="96"/>
      <c r="P56" s="96"/>
      <c r="Q56" s="96"/>
      <c r="R56" s="96"/>
      <c r="S56" s="96"/>
      <c r="T56" s="96"/>
      <c r="U56" s="96">
        <f t="shared" si="11"/>
        <v>0.05</v>
      </c>
      <c r="V56" s="96"/>
      <c r="W56" s="96"/>
      <c r="X56" s="96">
        <f t="shared" ref="X56:X70" si="16">AA56-AA55</f>
        <v>0</v>
      </c>
      <c r="Y56" s="96"/>
      <c r="Z56" s="96"/>
      <c r="AA56" s="94"/>
      <c r="AB56" s="94"/>
      <c r="AC56" s="96">
        <f t="shared" si="8"/>
        <v>0.005</v>
      </c>
      <c r="AD56" s="99">
        <f t="shared" si="15"/>
        <v>1.302</v>
      </c>
      <c r="AE56" s="99">
        <f t="shared" si="7"/>
        <v>1.312</v>
      </c>
    </row>
    <row r="57">
      <c r="A57" s="97">
        <f t="shared" si="3"/>
        <v>53</v>
      </c>
      <c r="B57" s="111">
        <v>178.0</v>
      </c>
      <c r="C57" s="111">
        <v>75000.0</v>
      </c>
      <c r="D57" s="66">
        <f t="shared" si="1"/>
        <v>3450</v>
      </c>
      <c r="E57" s="66">
        <f t="shared" si="2"/>
        <v>863800</v>
      </c>
      <c r="F57" s="66"/>
      <c r="G57" s="66"/>
      <c r="H57" s="66"/>
      <c r="I57" s="66"/>
      <c r="J57" s="66"/>
      <c r="K57" s="66"/>
      <c r="L57" s="96"/>
      <c r="M57" s="99">
        <f t="shared" ref="M57:M65" si="17">N57-0.01</f>
        <v>4.761</v>
      </c>
      <c r="N57" s="99">
        <f t="shared" ref="N57:N65" si="18">O57-0.02</f>
        <v>4.771</v>
      </c>
      <c r="O57" s="95">
        <v>4.791</v>
      </c>
      <c r="P57" s="95"/>
      <c r="Q57" s="96"/>
      <c r="R57" s="96"/>
      <c r="S57" s="95">
        <v>4.76</v>
      </c>
      <c r="T57" s="95">
        <v>4.791</v>
      </c>
      <c r="U57" s="99">
        <f t="shared" si="11"/>
        <v>4.841</v>
      </c>
      <c r="V57" s="95">
        <v>4.886</v>
      </c>
      <c r="W57" s="95">
        <f t="shared" ref="W57:W59" si="19">V57+0.05</f>
        <v>4.936</v>
      </c>
      <c r="X57" s="96">
        <f t="shared" si="16"/>
        <v>0</v>
      </c>
      <c r="Y57" s="96"/>
      <c r="Z57" s="96"/>
      <c r="AA57" s="94"/>
      <c r="AB57" s="94"/>
      <c r="AC57" s="96">
        <f t="shared" si="8"/>
        <v>0.005</v>
      </c>
      <c r="AD57" s="99">
        <f t="shared" si="15"/>
        <v>1.307</v>
      </c>
      <c r="AE57" s="99">
        <f t="shared" si="7"/>
        <v>1.317</v>
      </c>
      <c r="AF57" s="8">
        <v>1.332</v>
      </c>
    </row>
    <row r="58">
      <c r="A58" s="97">
        <f t="shared" si="3"/>
        <v>54</v>
      </c>
      <c r="B58" s="111">
        <v>178.0</v>
      </c>
      <c r="C58" s="111">
        <v>75000.0</v>
      </c>
      <c r="D58" s="66">
        <f t="shared" si="1"/>
        <v>3628</v>
      </c>
      <c r="E58" s="66">
        <f t="shared" si="2"/>
        <v>938800</v>
      </c>
      <c r="F58" s="66"/>
      <c r="G58" s="66"/>
      <c r="H58" s="66"/>
      <c r="I58" s="66"/>
      <c r="J58" s="66"/>
      <c r="K58" s="66"/>
      <c r="L58" s="96">
        <f t="shared" ref="L58:L70" si="20">O58-O57</f>
        <v>0.09</v>
      </c>
      <c r="M58" s="99">
        <f t="shared" si="17"/>
        <v>4.851</v>
      </c>
      <c r="N58" s="99">
        <f t="shared" si="18"/>
        <v>4.861</v>
      </c>
      <c r="O58" s="95">
        <v>4.881</v>
      </c>
      <c r="P58" s="95"/>
      <c r="Q58" s="96"/>
      <c r="R58" s="96">
        <f t="shared" ref="R58:R64" si="21">T58-T57</f>
        <v>0.085</v>
      </c>
      <c r="S58" s="95">
        <v>4.845</v>
      </c>
      <c r="T58" s="95">
        <v>4.876</v>
      </c>
      <c r="U58" s="95">
        <v>4.926</v>
      </c>
      <c r="V58" s="95">
        <v>4.971</v>
      </c>
      <c r="W58" s="95">
        <f t="shared" si="19"/>
        <v>5.021</v>
      </c>
      <c r="X58" s="96">
        <f t="shared" si="16"/>
        <v>0</v>
      </c>
      <c r="Y58" s="96"/>
      <c r="Z58" s="96"/>
      <c r="AA58" s="94"/>
      <c r="AB58" s="94"/>
      <c r="AC58" s="96">
        <f t="shared" si="8"/>
        <v>0.005</v>
      </c>
      <c r="AD58" s="99">
        <f t="shared" si="15"/>
        <v>1.312</v>
      </c>
      <c r="AE58" s="99">
        <f t="shared" si="7"/>
        <v>1.322</v>
      </c>
      <c r="AF58" s="8">
        <v>1.337</v>
      </c>
    </row>
    <row r="59">
      <c r="A59" s="97">
        <f t="shared" si="3"/>
        <v>55</v>
      </c>
      <c r="B59" s="111">
        <v>178.0</v>
      </c>
      <c r="C59" s="111">
        <v>75000.0</v>
      </c>
      <c r="D59" s="66">
        <f t="shared" si="1"/>
        <v>3806</v>
      </c>
      <c r="E59" s="66">
        <f t="shared" si="2"/>
        <v>1013800</v>
      </c>
      <c r="F59" s="66"/>
      <c r="G59" s="66"/>
      <c r="H59" s="66"/>
      <c r="I59" s="66"/>
      <c r="J59" s="66"/>
      <c r="K59" s="66"/>
      <c r="L59" s="96">
        <f t="shared" si="20"/>
        <v>0.09</v>
      </c>
      <c r="M59" s="99">
        <f t="shared" si="17"/>
        <v>4.941</v>
      </c>
      <c r="N59" s="99">
        <f t="shared" si="18"/>
        <v>4.951</v>
      </c>
      <c r="O59" s="95">
        <v>4.971</v>
      </c>
      <c r="P59" s="95"/>
      <c r="Q59" s="96"/>
      <c r="R59" s="96">
        <f t="shared" si="21"/>
        <v>0.085</v>
      </c>
      <c r="S59" s="99">
        <f t="shared" ref="S59:S75" si="22">T59-0.031</f>
        <v>4.93</v>
      </c>
      <c r="T59" s="99">
        <f>T58+R58</f>
        <v>4.961</v>
      </c>
      <c r="U59" s="99">
        <f t="shared" ref="U59:U75" si="23">V59-0.045</f>
        <v>5.011</v>
      </c>
      <c r="V59" s="95">
        <v>5.056</v>
      </c>
      <c r="W59" s="95">
        <f t="shared" si="19"/>
        <v>5.106</v>
      </c>
      <c r="X59" s="96">
        <f t="shared" si="16"/>
        <v>3.217</v>
      </c>
      <c r="Y59" s="95">
        <v>3.19</v>
      </c>
      <c r="Z59" s="95">
        <v>3.2</v>
      </c>
      <c r="AA59" s="95">
        <v>3.217</v>
      </c>
      <c r="AB59" s="95"/>
      <c r="AC59" s="96">
        <f t="shared" si="8"/>
        <v>0.005</v>
      </c>
      <c r="AD59" s="99">
        <f t="shared" si="15"/>
        <v>1.317</v>
      </c>
      <c r="AE59" s="99">
        <f t="shared" si="7"/>
        <v>1.327</v>
      </c>
      <c r="AF59" s="8">
        <v>1.342</v>
      </c>
    </row>
    <row r="60">
      <c r="A60" s="97">
        <f t="shared" si="3"/>
        <v>56</v>
      </c>
      <c r="B60" s="111">
        <v>178.0</v>
      </c>
      <c r="C60" s="111">
        <v>75000.0</v>
      </c>
      <c r="D60" s="66">
        <f t="shared" si="1"/>
        <v>3984</v>
      </c>
      <c r="E60" s="66">
        <f t="shared" si="2"/>
        <v>1088800</v>
      </c>
      <c r="F60" s="66"/>
      <c r="G60" s="66"/>
      <c r="H60" s="66"/>
      <c r="I60" s="66"/>
      <c r="J60" s="66"/>
      <c r="K60" s="66"/>
      <c r="L60" s="96">
        <f t="shared" si="20"/>
        <v>0.09</v>
      </c>
      <c r="M60" s="99">
        <f t="shared" si="17"/>
        <v>5.031</v>
      </c>
      <c r="N60" s="99">
        <f t="shared" si="18"/>
        <v>5.041</v>
      </c>
      <c r="O60" s="95">
        <v>5.061</v>
      </c>
      <c r="P60" s="95"/>
      <c r="Q60" s="96"/>
      <c r="R60" s="96">
        <f t="shared" si="21"/>
        <v>0.085</v>
      </c>
      <c r="S60" s="99">
        <f t="shared" si="22"/>
        <v>5.015</v>
      </c>
      <c r="T60" s="95">
        <v>5.046</v>
      </c>
      <c r="U60" s="99">
        <f t="shared" si="23"/>
        <v>5.096</v>
      </c>
      <c r="V60" s="95">
        <v>5.141</v>
      </c>
      <c r="W60" s="95">
        <v>5.191</v>
      </c>
      <c r="X60" s="96">
        <f t="shared" si="16"/>
        <v>0.06</v>
      </c>
      <c r="Y60" s="99">
        <f t="shared" ref="Y60:Y63" si="24">Y59+X60</f>
        <v>3.25</v>
      </c>
      <c r="Z60" s="99">
        <f t="shared" ref="Z60:Z63" si="25">Z59+X60</f>
        <v>3.26</v>
      </c>
      <c r="AA60" s="95">
        <v>3.277</v>
      </c>
      <c r="AB60" s="95"/>
      <c r="AC60" s="96">
        <f t="shared" si="8"/>
        <v>0.005</v>
      </c>
      <c r="AD60" s="99">
        <f t="shared" si="15"/>
        <v>1.322</v>
      </c>
      <c r="AE60" s="99">
        <f t="shared" si="7"/>
        <v>1.332</v>
      </c>
      <c r="AF60" s="8">
        <v>1.347</v>
      </c>
    </row>
    <row r="61">
      <c r="A61" s="97">
        <f t="shared" si="3"/>
        <v>57</v>
      </c>
      <c r="B61" s="111">
        <v>178.0</v>
      </c>
      <c r="C61" s="111">
        <v>75000.0</v>
      </c>
      <c r="D61" s="66">
        <f t="shared" si="1"/>
        <v>4162</v>
      </c>
      <c r="E61" s="66">
        <f t="shared" si="2"/>
        <v>1163800</v>
      </c>
      <c r="F61" s="66"/>
      <c r="G61" s="66"/>
      <c r="H61" s="66"/>
      <c r="I61" s="66"/>
      <c r="J61" s="66"/>
      <c r="K61" s="66"/>
      <c r="L61" s="96">
        <f t="shared" si="20"/>
        <v>0.09</v>
      </c>
      <c r="M61" s="99">
        <f t="shared" si="17"/>
        <v>5.121</v>
      </c>
      <c r="N61" s="99">
        <f t="shared" si="18"/>
        <v>5.131</v>
      </c>
      <c r="O61" s="95">
        <v>5.151</v>
      </c>
      <c r="P61" s="95"/>
      <c r="Q61" s="96"/>
      <c r="R61" s="96">
        <f t="shared" si="21"/>
        <v>0.085</v>
      </c>
      <c r="S61" s="99">
        <f t="shared" si="22"/>
        <v>5.1</v>
      </c>
      <c r="T61" s="95">
        <v>5.131</v>
      </c>
      <c r="U61" s="99">
        <f t="shared" si="23"/>
        <v>5.181</v>
      </c>
      <c r="V61" s="99">
        <f t="shared" ref="V61:V75" si="26">W61-0.05</f>
        <v>5.226</v>
      </c>
      <c r="W61" s="95">
        <v>5.276</v>
      </c>
      <c r="X61" s="96">
        <f t="shared" si="16"/>
        <v>0.06</v>
      </c>
      <c r="Y61" s="99">
        <f t="shared" si="24"/>
        <v>3.31</v>
      </c>
      <c r="Z61" s="99">
        <f t="shared" si="25"/>
        <v>3.32</v>
      </c>
      <c r="AA61" s="95">
        <v>3.337</v>
      </c>
      <c r="AB61" s="95"/>
      <c r="AC61" s="96">
        <f t="shared" si="8"/>
        <v>0.005</v>
      </c>
      <c r="AD61" s="99">
        <f t="shared" si="15"/>
        <v>1.327</v>
      </c>
      <c r="AE61" s="99">
        <f t="shared" si="7"/>
        <v>1.337</v>
      </c>
      <c r="AF61" s="8">
        <v>1.352</v>
      </c>
    </row>
    <row r="62">
      <c r="A62" s="97">
        <f t="shared" si="3"/>
        <v>58</v>
      </c>
      <c r="B62" s="111">
        <v>178.0</v>
      </c>
      <c r="C62" s="111">
        <v>75000.0</v>
      </c>
      <c r="D62" s="66">
        <f t="shared" si="1"/>
        <v>4340</v>
      </c>
      <c r="E62" s="66">
        <f t="shared" si="2"/>
        <v>1238800</v>
      </c>
      <c r="F62" s="66"/>
      <c r="G62" s="66"/>
      <c r="H62" s="66"/>
      <c r="I62" s="66"/>
      <c r="J62" s="66"/>
      <c r="K62" s="66"/>
      <c r="L62" s="96">
        <f t="shared" si="20"/>
        <v>0.09</v>
      </c>
      <c r="M62" s="99">
        <f t="shared" si="17"/>
        <v>5.211</v>
      </c>
      <c r="N62" s="99">
        <f t="shared" si="18"/>
        <v>5.221</v>
      </c>
      <c r="O62" s="95">
        <v>5.241</v>
      </c>
      <c r="P62" s="95"/>
      <c r="Q62" s="96"/>
      <c r="R62" s="96">
        <f t="shared" si="21"/>
        <v>0.085</v>
      </c>
      <c r="S62" s="99">
        <f t="shared" si="22"/>
        <v>5.185</v>
      </c>
      <c r="T62" s="99">
        <f t="shared" ref="T62:T64" si="27">U62-0.05</f>
        <v>5.216</v>
      </c>
      <c r="U62" s="99">
        <f t="shared" si="23"/>
        <v>5.266</v>
      </c>
      <c r="V62" s="99">
        <f t="shared" si="26"/>
        <v>5.311</v>
      </c>
      <c r="W62" s="95">
        <v>5.361</v>
      </c>
      <c r="X62" s="96">
        <f t="shared" si="16"/>
        <v>0.06</v>
      </c>
      <c r="Y62" s="99">
        <f t="shared" si="24"/>
        <v>3.37</v>
      </c>
      <c r="Z62" s="99">
        <f t="shared" si="25"/>
        <v>3.38</v>
      </c>
      <c r="AA62" s="95">
        <v>3.397</v>
      </c>
      <c r="AB62" s="95"/>
      <c r="AC62" s="96">
        <f t="shared" si="8"/>
        <v>0.005</v>
      </c>
      <c r="AD62" s="99">
        <f t="shared" si="15"/>
        <v>1.332</v>
      </c>
      <c r="AE62" s="99">
        <f t="shared" si="7"/>
        <v>1.342</v>
      </c>
      <c r="AF62" s="8">
        <v>1.357</v>
      </c>
    </row>
    <row r="63">
      <c r="A63" s="97">
        <f t="shared" si="3"/>
        <v>59</v>
      </c>
      <c r="B63" s="111">
        <v>178.0</v>
      </c>
      <c r="C63" s="111">
        <v>145000.0</v>
      </c>
      <c r="D63" s="66">
        <f t="shared" si="1"/>
        <v>4518</v>
      </c>
      <c r="E63" s="66">
        <f t="shared" si="2"/>
        <v>1383800</v>
      </c>
      <c r="F63" s="66"/>
      <c r="G63" s="66"/>
      <c r="H63" s="66"/>
      <c r="I63" s="66"/>
      <c r="J63" s="66"/>
      <c r="K63" s="66"/>
      <c r="L63" s="96">
        <f t="shared" si="20"/>
        <v>0.09</v>
      </c>
      <c r="M63" s="99">
        <f t="shared" si="17"/>
        <v>5.301</v>
      </c>
      <c r="N63" s="99">
        <f t="shared" si="18"/>
        <v>5.311</v>
      </c>
      <c r="O63" s="95">
        <v>5.331</v>
      </c>
      <c r="P63" s="95"/>
      <c r="Q63" s="96"/>
      <c r="R63" s="96">
        <f t="shared" si="21"/>
        <v>0.085</v>
      </c>
      <c r="S63" s="99">
        <f t="shared" si="22"/>
        <v>5.27</v>
      </c>
      <c r="T63" s="99">
        <f t="shared" si="27"/>
        <v>5.301</v>
      </c>
      <c r="U63" s="99">
        <f t="shared" si="23"/>
        <v>5.351</v>
      </c>
      <c r="V63" s="99">
        <f t="shared" si="26"/>
        <v>5.396</v>
      </c>
      <c r="W63" s="95">
        <v>5.446</v>
      </c>
      <c r="X63" s="96">
        <f t="shared" si="16"/>
        <v>0.06</v>
      </c>
      <c r="Y63" s="99">
        <f t="shared" si="24"/>
        <v>3.43</v>
      </c>
      <c r="Z63" s="99">
        <f t="shared" si="25"/>
        <v>3.44</v>
      </c>
      <c r="AA63" s="95">
        <v>3.457</v>
      </c>
      <c r="AB63" s="95"/>
      <c r="AC63" s="96">
        <f t="shared" si="8"/>
        <v>0.005</v>
      </c>
      <c r="AD63" s="95">
        <v>1.337</v>
      </c>
      <c r="AE63" s="99">
        <f t="shared" si="7"/>
        <v>1.347</v>
      </c>
      <c r="AF63" s="8">
        <v>1.362</v>
      </c>
    </row>
    <row r="64">
      <c r="A64" s="97">
        <f t="shared" si="3"/>
        <v>60</v>
      </c>
      <c r="B64" s="111">
        <v>248.0</v>
      </c>
      <c r="C64" s="111">
        <v>145000.0</v>
      </c>
      <c r="D64" s="104">
        <f t="shared" si="1"/>
        <v>4766</v>
      </c>
      <c r="E64" s="104">
        <f t="shared" si="2"/>
        <v>1528800</v>
      </c>
      <c r="F64" s="104"/>
      <c r="G64" s="104"/>
      <c r="H64" s="104"/>
      <c r="I64" s="104"/>
      <c r="J64" s="104"/>
      <c r="K64" s="104"/>
      <c r="L64" s="96">
        <f t="shared" si="20"/>
        <v>0.095</v>
      </c>
      <c r="M64" s="99">
        <f t="shared" si="17"/>
        <v>5.396</v>
      </c>
      <c r="N64" s="99">
        <f t="shared" si="18"/>
        <v>5.406</v>
      </c>
      <c r="O64" s="95">
        <v>5.426</v>
      </c>
      <c r="P64" s="95"/>
      <c r="Q64" s="96"/>
      <c r="R64" s="96">
        <f t="shared" si="21"/>
        <v>0.09</v>
      </c>
      <c r="S64" s="99">
        <f t="shared" si="22"/>
        <v>5.36</v>
      </c>
      <c r="T64" s="99">
        <f t="shared" si="27"/>
        <v>5.391</v>
      </c>
      <c r="U64" s="99">
        <f t="shared" si="23"/>
        <v>5.441</v>
      </c>
      <c r="V64" s="99">
        <f t="shared" si="26"/>
        <v>5.486</v>
      </c>
      <c r="W64" s="95">
        <v>5.536</v>
      </c>
      <c r="X64" s="98">
        <f t="shared" si="16"/>
        <v>0.567</v>
      </c>
      <c r="Y64" s="95">
        <v>3.991</v>
      </c>
      <c r="Z64" s="95">
        <v>4.003</v>
      </c>
      <c r="AA64" s="95">
        <v>4.024</v>
      </c>
      <c r="AB64" s="95"/>
      <c r="AC64" s="112">
        <f t="shared" si="8"/>
        <v>0.006</v>
      </c>
      <c r="AD64" s="95">
        <v>1.343</v>
      </c>
      <c r="AE64" s="99">
        <f t="shared" si="7"/>
        <v>1.353</v>
      </c>
      <c r="AF64" s="8">
        <v>1.368</v>
      </c>
    </row>
    <row r="65">
      <c r="A65" s="97">
        <f t="shared" si="3"/>
        <v>61</v>
      </c>
      <c r="B65" s="111">
        <v>248.0</v>
      </c>
      <c r="C65" s="111">
        <v>145000.0</v>
      </c>
      <c r="D65" s="66">
        <f t="shared" si="1"/>
        <v>5014</v>
      </c>
      <c r="E65" s="66">
        <f t="shared" si="2"/>
        <v>1673800</v>
      </c>
      <c r="F65" s="66">
        <v>1240.0</v>
      </c>
      <c r="G65" s="66">
        <v>725000.0</v>
      </c>
      <c r="H65" s="66">
        <v>2580.0</v>
      </c>
      <c r="I65" s="66">
        <v>1860000.0</v>
      </c>
      <c r="J65" s="66">
        <v>28760.0</v>
      </c>
      <c r="K65" s="66">
        <v>3.946E7</v>
      </c>
      <c r="L65" s="96">
        <f t="shared" si="20"/>
        <v>0.095</v>
      </c>
      <c r="M65" s="99">
        <f t="shared" si="17"/>
        <v>5.491</v>
      </c>
      <c r="N65" s="99">
        <f t="shared" si="18"/>
        <v>5.501</v>
      </c>
      <c r="O65" s="95">
        <v>5.521</v>
      </c>
      <c r="P65" s="95"/>
      <c r="Q65" s="96"/>
      <c r="R65" s="96">
        <f t="shared" ref="R65:R75" si="28">W65-W64</f>
        <v>0.09</v>
      </c>
      <c r="S65" s="99">
        <f t="shared" si="22"/>
        <v>5.45</v>
      </c>
      <c r="T65" s="99">
        <f>T64+R65</f>
        <v>5.481</v>
      </c>
      <c r="U65" s="99">
        <f t="shared" si="23"/>
        <v>5.531</v>
      </c>
      <c r="V65" s="99">
        <f t="shared" si="26"/>
        <v>5.576</v>
      </c>
      <c r="W65" s="95">
        <v>5.626</v>
      </c>
      <c r="X65" s="96">
        <f t="shared" si="16"/>
        <v>0.075</v>
      </c>
      <c r="Y65" s="95">
        <f>Y66-X66</f>
        <v>4.068</v>
      </c>
      <c r="Z65" s="95">
        <f>Z66-X66</f>
        <v>4.078</v>
      </c>
      <c r="AA65" s="95">
        <v>4.099</v>
      </c>
      <c r="AB65" s="95"/>
      <c r="AC65" s="96">
        <f t="shared" si="8"/>
        <v>0.006</v>
      </c>
      <c r="AD65" s="95">
        <v>1.349</v>
      </c>
      <c r="AE65" s="99">
        <f t="shared" si="7"/>
        <v>1.359</v>
      </c>
      <c r="AF65" s="8">
        <v>1.374</v>
      </c>
    </row>
    <row r="66">
      <c r="A66" s="97">
        <f t="shared" si="3"/>
        <v>62</v>
      </c>
      <c r="B66" s="111">
        <v>248.0</v>
      </c>
      <c r="C66" s="111">
        <v>145000.0</v>
      </c>
      <c r="D66" s="66">
        <f t="shared" si="1"/>
        <v>5262</v>
      </c>
      <c r="E66" s="66">
        <f t="shared" si="2"/>
        <v>1818800</v>
      </c>
      <c r="F66" s="66">
        <v>1240.0</v>
      </c>
      <c r="G66" s="66">
        <v>725000.0</v>
      </c>
      <c r="H66" s="66">
        <v>2680.0</v>
      </c>
      <c r="I66" s="66">
        <v>2070000.0</v>
      </c>
      <c r="J66" s="66">
        <v>29800.0</v>
      </c>
      <c r="K66" s="66">
        <v>4.072E7</v>
      </c>
      <c r="L66" s="96">
        <f t="shared" si="20"/>
        <v>0.095</v>
      </c>
      <c r="M66" s="95">
        <v>5.586</v>
      </c>
      <c r="N66" s="95">
        <v>5.596</v>
      </c>
      <c r="O66" s="95">
        <v>5.616</v>
      </c>
      <c r="P66" s="95">
        <v>5.626</v>
      </c>
      <c r="Q66" s="96"/>
      <c r="R66" s="96">
        <f t="shared" si="28"/>
        <v>0.09</v>
      </c>
      <c r="S66" s="99">
        <f t="shared" si="22"/>
        <v>5.54</v>
      </c>
      <c r="T66" s="95">
        <v>5.571</v>
      </c>
      <c r="U66" s="99">
        <f t="shared" si="23"/>
        <v>5.621</v>
      </c>
      <c r="V66" s="99">
        <f t="shared" si="26"/>
        <v>5.666</v>
      </c>
      <c r="W66" s="95">
        <v>5.716</v>
      </c>
      <c r="X66" s="96">
        <f t="shared" si="16"/>
        <v>0.075</v>
      </c>
      <c r="Y66" s="99">
        <f t="shared" ref="Y66:Y69" si="29">Z66-0.01</f>
        <v>4.143</v>
      </c>
      <c r="Z66" s="95">
        <v>4.153</v>
      </c>
      <c r="AA66" s="95">
        <v>4.174</v>
      </c>
      <c r="AB66" s="95"/>
      <c r="AC66" s="96">
        <f t="shared" ref="AC66:AC76" si="30">AF66-AF65</f>
        <v>0.006</v>
      </c>
      <c r="AD66" s="95">
        <f t="shared" ref="AD66:AD76" si="31">AD65+AC66</f>
        <v>1.355</v>
      </c>
      <c r="AE66" s="99">
        <f t="shared" si="7"/>
        <v>1.365</v>
      </c>
      <c r="AF66" s="102">
        <v>1.38</v>
      </c>
    </row>
    <row r="67">
      <c r="A67" s="97">
        <f t="shared" si="3"/>
        <v>63</v>
      </c>
      <c r="B67" s="111">
        <v>248.0</v>
      </c>
      <c r="C67" s="111">
        <v>145000.0</v>
      </c>
      <c r="D67" s="66">
        <f t="shared" si="1"/>
        <v>5510</v>
      </c>
      <c r="E67" s="66">
        <f t="shared" si="2"/>
        <v>1963800</v>
      </c>
      <c r="F67" s="66">
        <v>1240.0</v>
      </c>
      <c r="G67" s="66">
        <v>725000.0</v>
      </c>
      <c r="H67" s="66">
        <v>2770.0</v>
      </c>
      <c r="I67" s="66">
        <v>2270000.0</v>
      </c>
      <c r="J67" s="66">
        <v>30840.0</v>
      </c>
      <c r="K67" s="66">
        <v>4.197E7</v>
      </c>
      <c r="L67" s="96">
        <f t="shared" si="20"/>
        <v>0.095</v>
      </c>
      <c r="M67" s="99">
        <f t="shared" ref="M67:M70" si="32">N67-0.01</f>
        <v>5.681</v>
      </c>
      <c r="N67" s="99">
        <f t="shared" ref="N67:N70" si="33">O67-0.02</f>
        <v>5.691</v>
      </c>
      <c r="O67" s="95">
        <v>5.711</v>
      </c>
      <c r="P67" s="99">
        <f t="shared" ref="P67:P70" si="34">P66+L67</f>
        <v>5.721</v>
      </c>
      <c r="Q67" s="96"/>
      <c r="R67" s="96">
        <f t="shared" si="28"/>
        <v>0.09</v>
      </c>
      <c r="S67" s="99">
        <f t="shared" si="22"/>
        <v>5.63</v>
      </c>
      <c r="T67" s="95">
        <v>5.661</v>
      </c>
      <c r="U67" s="99">
        <f t="shared" si="23"/>
        <v>5.711</v>
      </c>
      <c r="V67" s="99">
        <f t="shared" si="26"/>
        <v>5.756</v>
      </c>
      <c r="W67" s="95">
        <v>5.806</v>
      </c>
      <c r="X67" s="96">
        <f t="shared" si="16"/>
        <v>0.075</v>
      </c>
      <c r="Y67" s="99">
        <f t="shared" si="29"/>
        <v>4.218</v>
      </c>
      <c r="Z67" s="99">
        <f t="shared" ref="Z67:Z69" si="35">Z66+X67</f>
        <v>4.228</v>
      </c>
      <c r="AA67" s="95">
        <v>4.249</v>
      </c>
      <c r="AB67" s="95"/>
      <c r="AC67" s="96">
        <f t="shared" si="30"/>
        <v>0.006</v>
      </c>
      <c r="AD67" s="95">
        <f t="shared" si="31"/>
        <v>1.361</v>
      </c>
      <c r="AE67" s="99">
        <f t="shared" si="7"/>
        <v>1.371</v>
      </c>
      <c r="AF67" s="8">
        <v>1.386</v>
      </c>
    </row>
    <row r="68">
      <c r="A68" s="97">
        <f t="shared" si="3"/>
        <v>64</v>
      </c>
      <c r="B68" s="111">
        <v>248.0</v>
      </c>
      <c r="C68" s="111">
        <v>145000.0</v>
      </c>
      <c r="D68" s="66">
        <f t="shared" si="1"/>
        <v>5758</v>
      </c>
      <c r="E68" s="66">
        <f t="shared" si="2"/>
        <v>2108800</v>
      </c>
      <c r="F68" s="66">
        <v>1240.0</v>
      </c>
      <c r="G68" s="66">
        <v>725000.0</v>
      </c>
      <c r="H68" s="66">
        <v>2870.0</v>
      </c>
      <c r="I68" s="66">
        <v>2480000.0</v>
      </c>
      <c r="J68" s="66">
        <v>31880.0</v>
      </c>
      <c r="K68" s="66">
        <v>4.323E7</v>
      </c>
      <c r="L68" s="96">
        <f t="shared" si="20"/>
        <v>0.095</v>
      </c>
      <c r="M68" s="99">
        <f t="shared" si="32"/>
        <v>5.776</v>
      </c>
      <c r="N68" s="99">
        <f t="shared" si="33"/>
        <v>5.786</v>
      </c>
      <c r="O68" s="95">
        <v>5.806</v>
      </c>
      <c r="P68" s="99">
        <f t="shared" si="34"/>
        <v>5.816</v>
      </c>
      <c r="Q68" s="96"/>
      <c r="R68" s="96">
        <f t="shared" si="28"/>
        <v>0.09</v>
      </c>
      <c r="S68" s="99">
        <f t="shared" si="22"/>
        <v>5.72</v>
      </c>
      <c r="T68" s="95">
        <v>5.751</v>
      </c>
      <c r="U68" s="99">
        <f t="shared" si="23"/>
        <v>5.801</v>
      </c>
      <c r="V68" s="99">
        <f t="shared" si="26"/>
        <v>5.846</v>
      </c>
      <c r="W68" s="95">
        <v>5.896</v>
      </c>
      <c r="X68" s="96">
        <f t="shared" si="16"/>
        <v>0.075</v>
      </c>
      <c r="Y68" s="99">
        <f t="shared" si="29"/>
        <v>4.293</v>
      </c>
      <c r="Z68" s="99">
        <f t="shared" si="35"/>
        <v>4.303</v>
      </c>
      <c r="AA68" s="95">
        <v>4.324</v>
      </c>
      <c r="AB68" s="95"/>
      <c r="AC68" s="96">
        <f t="shared" si="30"/>
        <v>0.006</v>
      </c>
      <c r="AD68" s="95">
        <f t="shared" si="31"/>
        <v>1.367</v>
      </c>
      <c r="AE68" s="99">
        <f t="shared" si="7"/>
        <v>1.377</v>
      </c>
      <c r="AF68" s="8">
        <v>1.392</v>
      </c>
    </row>
    <row r="69">
      <c r="A69" s="97">
        <f t="shared" si="3"/>
        <v>65</v>
      </c>
      <c r="B69" s="111">
        <v>248.0</v>
      </c>
      <c r="C69" s="111">
        <v>145000.0</v>
      </c>
      <c r="D69" s="66">
        <f t="shared" si="1"/>
        <v>6006</v>
      </c>
      <c r="E69" s="66">
        <f t="shared" si="2"/>
        <v>2253800</v>
      </c>
      <c r="F69" s="66">
        <v>1240.0</v>
      </c>
      <c r="G69" s="66">
        <v>930000.0</v>
      </c>
      <c r="H69" s="66">
        <v>2970.0</v>
      </c>
      <c r="I69" s="66">
        <v>2680000.0</v>
      </c>
      <c r="J69" s="66">
        <v>32920.0</v>
      </c>
      <c r="K69" s="66">
        <v>4.448E7</v>
      </c>
      <c r="L69" s="96">
        <f t="shared" si="20"/>
        <v>0.095</v>
      </c>
      <c r="M69" s="99">
        <f t="shared" si="32"/>
        <v>5.871</v>
      </c>
      <c r="N69" s="99">
        <f t="shared" si="33"/>
        <v>5.881</v>
      </c>
      <c r="O69" s="95">
        <v>5.901</v>
      </c>
      <c r="P69" s="99">
        <f t="shared" si="34"/>
        <v>5.911</v>
      </c>
      <c r="Q69" s="96"/>
      <c r="R69" s="96">
        <f t="shared" si="28"/>
        <v>0.09</v>
      </c>
      <c r="S69" s="99">
        <f t="shared" si="22"/>
        <v>5.81</v>
      </c>
      <c r="T69" s="99">
        <f t="shared" ref="T69:T75" si="36">T68+R69</f>
        <v>5.841</v>
      </c>
      <c r="U69" s="99">
        <f t="shared" si="23"/>
        <v>5.891</v>
      </c>
      <c r="V69" s="99">
        <f t="shared" si="26"/>
        <v>5.936</v>
      </c>
      <c r="W69" s="95">
        <v>5.986</v>
      </c>
      <c r="X69" s="96">
        <f t="shared" si="16"/>
        <v>0.075</v>
      </c>
      <c r="Y69" s="99">
        <f t="shared" si="29"/>
        <v>4.368</v>
      </c>
      <c r="Z69" s="99">
        <f t="shared" si="35"/>
        <v>4.378</v>
      </c>
      <c r="AA69" s="95">
        <v>4.399</v>
      </c>
      <c r="AB69" s="95"/>
      <c r="AC69" s="96">
        <f t="shared" si="30"/>
        <v>0.006</v>
      </c>
      <c r="AD69" s="95">
        <f t="shared" si="31"/>
        <v>1.373</v>
      </c>
      <c r="AE69" s="99">
        <f t="shared" si="7"/>
        <v>1.383</v>
      </c>
      <c r="AF69" s="8">
        <v>1.398</v>
      </c>
    </row>
    <row r="70">
      <c r="A70" s="97">
        <f t="shared" si="3"/>
        <v>66</v>
      </c>
      <c r="B70" s="111">
        <v>248.0</v>
      </c>
      <c r="C70" s="111">
        <v>145000.0</v>
      </c>
      <c r="D70" s="104">
        <f t="shared" si="1"/>
        <v>6254</v>
      </c>
      <c r="E70" s="104">
        <f t="shared" si="2"/>
        <v>2398800</v>
      </c>
      <c r="F70" s="104">
        <v>1340.0</v>
      </c>
      <c r="G70" s="104">
        <v>1140000.0</v>
      </c>
      <c r="H70" s="104">
        <v>3070.0</v>
      </c>
      <c r="I70" s="104">
        <v>2890000.0</v>
      </c>
      <c r="J70" s="104">
        <v>33950.0</v>
      </c>
      <c r="K70" s="104">
        <v>4.574E7</v>
      </c>
      <c r="L70" s="96">
        <f t="shared" si="20"/>
        <v>0.095</v>
      </c>
      <c r="M70" s="99">
        <f t="shared" si="32"/>
        <v>5.966</v>
      </c>
      <c r="N70" s="99">
        <f t="shared" si="33"/>
        <v>5.976</v>
      </c>
      <c r="O70" s="95">
        <v>5.996</v>
      </c>
      <c r="P70" s="99">
        <f t="shared" si="34"/>
        <v>6.006</v>
      </c>
      <c r="Q70" s="96"/>
      <c r="R70" s="96">
        <f t="shared" si="28"/>
        <v>0.09</v>
      </c>
      <c r="S70" s="99">
        <f t="shared" si="22"/>
        <v>5.9</v>
      </c>
      <c r="T70" s="99">
        <f t="shared" si="36"/>
        <v>5.931</v>
      </c>
      <c r="U70" s="99">
        <f t="shared" si="23"/>
        <v>5.981</v>
      </c>
      <c r="V70" s="99">
        <f t="shared" si="26"/>
        <v>6.026</v>
      </c>
      <c r="W70" s="95">
        <v>6.076</v>
      </c>
      <c r="X70" s="98">
        <f t="shared" si="16"/>
        <v>0.654</v>
      </c>
      <c r="Y70" s="95">
        <v>5.014</v>
      </c>
      <c r="Z70" s="95">
        <v>5.028</v>
      </c>
      <c r="AA70" s="95">
        <v>5.053</v>
      </c>
      <c r="AB70" s="95">
        <v>5.067</v>
      </c>
      <c r="AC70" s="96">
        <f t="shared" si="30"/>
        <v>0.006</v>
      </c>
      <c r="AD70" s="95">
        <f t="shared" si="31"/>
        <v>1.379</v>
      </c>
      <c r="AE70" s="99">
        <f t="shared" si="7"/>
        <v>1.389</v>
      </c>
      <c r="AF70" s="8">
        <v>1.404</v>
      </c>
    </row>
    <row r="71">
      <c r="A71" s="97">
        <f t="shared" si="3"/>
        <v>67</v>
      </c>
      <c r="B71" s="111">
        <v>248.0</v>
      </c>
      <c r="C71" s="111">
        <v>145000.0</v>
      </c>
      <c r="D71" s="66">
        <f t="shared" si="1"/>
        <v>6502</v>
      </c>
      <c r="E71" s="66">
        <f t="shared" si="2"/>
        <v>2543800</v>
      </c>
      <c r="F71" s="66">
        <v>1440.0</v>
      </c>
      <c r="G71" s="66">
        <v>1340000.0</v>
      </c>
      <c r="H71" s="66">
        <v>3170.0</v>
      </c>
      <c r="I71" s="66">
        <v>3090000.0</v>
      </c>
      <c r="J71" s="66">
        <v>34990.0</v>
      </c>
      <c r="K71" s="66">
        <v>4.699E7</v>
      </c>
      <c r="L71" s="96"/>
      <c r="M71" s="96"/>
      <c r="N71" s="96"/>
      <c r="O71" s="96"/>
      <c r="P71" s="96"/>
      <c r="Q71" s="96"/>
      <c r="R71" s="96">
        <f t="shared" si="28"/>
        <v>0.09</v>
      </c>
      <c r="S71" s="99">
        <f t="shared" si="22"/>
        <v>5.99</v>
      </c>
      <c r="T71" s="99">
        <f t="shared" si="36"/>
        <v>6.021</v>
      </c>
      <c r="U71" s="99">
        <f t="shared" si="23"/>
        <v>6.071</v>
      </c>
      <c r="V71" s="99">
        <f t="shared" si="26"/>
        <v>6.116</v>
      </c>
      <c r="W71" s="95">
        <v>6.166</v>
      </c>
      <c r="X71" s="96"/>
      <c r="Y71" s="96"/>
      <c r="Z71" s="96"/>
      <c r="AA71" s="96"/>
      <c r="AB71" s="96"/>
      <c r="AC71" s="96">
        <f t="shared" si="30"/>
        <v>0.006</v>
      </c>
      <c r="AD71" s="95">
        <f t="shared" si="31"/>
        <v>1.385</v>
      </c>
      <c r="AE71" s="99">
        <f t="shared" si="7"/>
        <v>1.395</v>
      </c>
      <c r="AF71" s="96">
        <f t="shared" ref="AF71:AF76" si="37">AF70+AC70</f>
        <v>1.41</v>
      </c>
    </row>
    <row r="72">
      <c r="A72" s="97">
        <f t="shared" si="3"/>
        <v>68</v>
      </c>
      <c r="B72" s="111">
        <v>248.0</v>
      </c>
      <c r="C72" s="111">
        <v>145000.0</v>
      </c>
      <c r="D72" s="66">
        <f t="shared" si="1"/>
        <v>6750</v>
      </c>
      <c r="E72" s="66">
        <f t="shared" si="2"/>
        <v>2688800</v>
      </c>
      <c r="F72" s="66">
        <v>1530.0</v>
      </c>
      <c r="G72" s="66">
        <v>1550000.0</v>
      </c>
      <c r="H72" s="66">
        <v>3260.0</v>
      </c>
      <c r="I72" s="66">
        <v>3300000.0</v>
      </c>
      <c r="J72" s="66">
        <v>36030.0</v>
      </c>
      <c r="K72" s="66">
        <v>4.825E7</v>
      </c>
      <c r="L72" s="96"/>
      <c r="M72" s="96"/>
      <c r="N72" s="96"/>
      <c r="O72" s="96"/>
      <c r="P72" s="96"/>
      <c r="Q72" s="96"/>
      <c r="R72" s="96">
        <f t="shared" si="28"/>
        <v>0.09</v>
      </c>
      <c r="S72" s="99">
        <f t="shared" si="22"/>
        <v>6.08</v>
      </c>
      <c r="T72" s="99">
        <f t="shared" si="36"/>
        <v>6.111</v>
      </c>
      <c r="U72" s="99">
        <f t="shared" si="23"/>
        <v>6.161</v>
      </c>
      <c r="V72" s="99">
        <f t="shared" si="26"/>
        <v>6.206</v>
      </c>
      <c r="W72" s="95">
        <v>6.256</v>
      </c>
      <c r="X72" s="96"/>
      <c r="Y72" s="96"/>
      <c r="Z72" s="96"/>
      <c r="AA72" s="96"/>
      <c r="AB72" s="96"/>
      <c r="AC72" s="96">
        <f t="shared" si="30"/>
        <v>0.006</v>
      </c>
      <c r="AD72" s="95">
        <f t="shared" si="31"/>
        <v>1.391</v>
      </c>
      <c r="AE72" s="99">
        <f t="shared" si="7"/>
        <v>1.401</v>
      </c>
      <c r="AF72" s="96">
        <f t="shared" si="37"/>
        <v>1.416</v>
      </c>
    </row>
    <row r="73">
      <c r="A73" s="97">
        <f t="shared" si="3"/>
        <v>69</v>
      </c>
      <c r="B73" s="111">
        <v>248.0</v>
      </c>
      <c r="C73" s="111">
        <v>350000.0</v>
      </c>
      <c r="D73" s="66">
        <f t="shared" si="1"/>
        <v>6998</v>
      </c>
      <c r="E73" s="66">
        <f t="shared" si="2"/>
        <v>3038800</v>
      </c>
      <c r="F73" s="66">
        <v>1630.0</v>
      </c>
      <c r="G73" s="66">
        <v>1750000.0</v>
      </c>
      <c r="H73" s="66">
        <v>3360.0</v>
      </c>
      <c r="I73" s="66">
        <v>3500000.0</v>
      </c>
      <c r="J73" s="66">
        <v>37070.0</v>
      </c>
      <c r="K73" s="66">
        <v>4.95E7</v>
      </c>
      <c r="L73" s="96"/>
      <c r="M73" s="96"/>
      <c r="N73" s="96"/>
      <c r="O73" s="96"/>
      <c r="P73" s="96"/>
      <c r="Q73" s="96"/>
      <c r="R73" s="96">
        <f t="shared" si="28"/>
        <v>0.09</v>
      </c>
      <c r="S73" s="99">
        <f t="shared" si="22"/>
        <v>6.17</v>
      </c>
      <c r="T73" s="99">
        <f t="shared" si="36"/>
        <v>6.201</v>
      </c>
      <c r="U73" s="99">
        <f t="shared" si="23"/>
        <v>6.251</v>
      </c>
      <c r="V73" s="99">
        <f t="shared" si="26"/>
        <v>6.296</v>
      </c>
      <c r="W73" s="95">
        <v>6.346</v>
      </c>
      <c r="X73" s="96"/>
      <c r="Y73" s="96"/>
      <c r="Z73" s="96"/>
      <c r="AA73" s="96"/>
      <c r="AB73" s="96"/>
      <c r="AC73" s="96">
        <f t="shared" si="30"/>
        <v>0.006</v>
      </c>
      <c r="AD73" s="95">
        <f t="shared" si="31"/>
        <v>1.397</v>
      </c>
      <c r="AE73" s="99">
        <f t="shared" si="7"/>
        <v>1.407</v>
      </c>
      <c r="AF73" s="96">
        <f t="shared" si="37"/>
        <v>1.422</v>
      </c>
    </row>
    <row r="74">
      <c r="A74" s="97">
        <f t="shared" si="3"/>
        <v>70</v>
      </c>
      <c r="B74" s="111">
        <v>346.0</v>
      </c>
      <c r="C74" s="111">
        <v>350000.0</v>
      </c>
      <c r="D74" s="66">
        <f t="shared" si="1"/>
        <v>7344</v>
      </c>
      <c r="E74" s="66">
        <f t="shared" si="2"/>
        <v>3388800</v>
      </c>
      <c r="F74" s="66">
        <v>1730.0</v>
      </c>
      <c r="G74" s="66">
        <v>1750000.0</v>
      </c>
      <c r="H74" s="66">
        <v>3460.0</v>
      </c>
      <c r="I74" s="66">
        <v>4050000.0</v>
      </c>
      <c r="J74" s="66">
        <v>38110.0</v>
      </c>
      <c r="K74" s="66">
        <v>5.265E7</v>
      </c>
      <c r="L74" s="96"/>
      <c r="M74" s="96"/>
      <c r="N74" s="96"/>
      <c r="O74" s="96"/>
      <c r="P74" s="96"/>
      <c r="Q74" s="96"/>
      <c r="R74" s="96">
        <f t="shared" si="28"/>
        <v>0.09</v>
      </c>
      <c r="S74" s="99">
        <f t="shared" si="22"/>
        <v>6.26</v>
      </c>
      <c r="T74" s="99">
        <f t="shared" si="36"/>
        <v>6.291</v>
      </c>
      <c r="U74" s="99">
        <f t="shared" si="23"/>
        <v>6.341</v>
      </c>
      <c r="V74" s="99">
        <f t="shared" si="26"/>
        <v>6.386</v>
      </c>
      <c r="W74" s="95">
        <v>6.436</v>
      </c>
      <c r="X74" s="96"/>
      <c r="Y74" s="96"/>
      <c r="Z74" s="96"/>
      <c r="AA74" s="96"/>
      <c r="AB74" s="96"/>
      <c r="AC74" s="96">
        <f t="shared" si="30"/>
        <v>0.006</v>
      </c>
      <c r="AD74" s="95">
        <f t="shared" si="31"/>
        <v>1.403</v>
      </c>
      <c r="AE74" s="99">
        <f t="shared" si="7"/>
        <v>1.413</v>
      </c>
      <c r="AF74" s="96">
        <f t="shared" si="37"/>
        <v>1.428</v>
      </c>
    </row>
    <row r="75">
      <c r="A75" s="97">
        <f t="shared" si="3"/>
        <v>71</v>
      </c>
      <c r="B75" s="111">
        <v>346.0</v>
      </c>
      <c r="C75" s="111">
        <v>350000.0</v>
      </c>
      <c r="D75" s="66">
        <f t="shared" si="1"/>
        <v>7690</v>
      </c>
      <c r="E75" s="66">
        <f t="shared" si="2"/>
        <v>3738800</v>
      </c>
      <c r="F75" s="66">
        <v>1730.0</v>
      </c>
      <c r="G75" s="66">
        <v>1750000.0</v>
      </c>
      <c r="H75" s="66">
        <v>3610.0</v>
      </c>
      <c r="I75" s="66">
        <v>4600000.0</v>
      </c>
      <c r="J75" s="66">
        <v>39550.0</v>
      </c>
      <c r="K75" s="66">
        <v>5.58E7</v>
      </c>
      <c r="L75" s="96"/>
      <c r="M75" s="96"/>
      <c r="N75" s="96"/>
      <c r="O75" s="96"/>
      <c r="P75" s="96"/>
      <c r="Q75" s="96"/>
      <c r="R75" s="96">
        <f t="shared" si="28"/>
        <v>0.09</v>
      </c>
      <c r="S75" s="99">
        <f t="shared" si="22"/>
        <v>6.35</v>
      </c>
      <c r="T75" s="99">
        <f t="shared" si="36"/>
        <v>6.381</v>
      </c>
      <c r="U75" s="99">
        <f t="shared" si="23"/>
        <v>6.431</v>
      </c>
      <c r="V75" s="99">
        <f t="shared" si="26"/>
        <v>6.476</v>
      </c>
      <c r="W75" s="95">
        <v>6.526</v>
      </c>
      <c r="X75" s="96"/>
      <c r="Y75" s="96"/>
      <c r="Z75" s="96"/>
      <c r="AA75" s="96"/>
      <c r="AB75" s="96"/>
      <c r="AC75" s="96">
        <f t="shared" si="30"/>
        <v>0.006</v>
      </c>
      <c r="AD75" s="95">
        <f t="shared" si="31"/>
        <v>1.409</v>
      </c>
      <c r="AE75" s="99">
        <f t="shared" si="7"/>
        <v>1.419</v>
      </c>
      <c r="AF75" s="96">
        <f t="shared" si="37"/>
        <v>1.434</v>
      </c>
    </row>
    <row r="76">
      <c r="A76" s="97">
        <f t="shared" si="3"/>
        <v>72</v>
      </c>
      <c r="B76" s="111">
        <v>346.0</v>
      </c>
      <c r="C76" s="111">
        <v>350000.0</v>
      </c>
      <c r="D76" s="66">
        <f t="shared" si="1"/>
        <v>8036</v>
      </c>
      <c r="E76" s="66">
        <f t="shared" si="2"/>
        <v>4088800</v>
      </c>
      <c r="F76" s="66">
        <v>1730.0</v>
      </c>
      <c r="G76" s="66">
        <v>1750000.0</v>
      </c>
      <c r="H76" s="66">
        <v>3760.0</v>
      </c>
      <c r="I76" s="66">
        <v>5150000.0</v>
      </c>
      <c r="J76" s="66">
        <v>40980.0</v>
      </c>
      <c r="K76" s="66">
        <v>5.895E7</v>
      </c>
      <c r="L76" s="96"/>
      <c r="M76" s="96"/>
      <c r="N76" s="96"/>
      <c r="O76" s="96"/>
      <c r="P76" s="96"/>
      <c r="Q76" s="96"/>
      <c r="R76" s="96"/>
      <c r="S76" s="96"/>
      <c r="T76" s="96"/>
      <c r="U76" s="96"/>
      <c r="V76" s="96"/>
      <c r="W76" s="96"/>
      <c r="X76" s="96"/>
      <c r="Y76" s="96"/>
      <c r="Z76" s="96"/>
      <c r="AA76" s="96"/>
      <c r="AB76" s="96"/>
      <c r="AC76" s="96">
        <f t="shared" si="30"/>
        <v>0.006</v>
      </c>
      <c r="AD76" s="95">
        <f t="shared" si="31"/>
        <v>1.415</v>
      </c>
      <c r="AE76" s="99">
        <f t="shared" si="7"/>
        <v>1.425</v>
      </c>
      <c r="AF76" s="96">
        <f t="shared" si="37"/>
        <v>1.44</v>
      </c>
    </row>
    <row r="77">
      <c r="A77" s="97">
        <f t="shared" si="3"/>
        <v>73</v>
      </c>
      <c r="B77" s="111">
        <v>346.0</v>
      </c>
      <c r="C77" s="111">
        <v>350000.0</v>
      </c>
      <c r="D77" s="66">
        <f t="shared" si="1"/>
        <v>8382</v>
      </c>
      <c r="E77" s="66">
        <f t="shared" si="2"/>
        <v>4438800</v>
      </c>
      <c r="F77" s="66">
        <v>1730.0</v>
      </c>
      <c r="G77" s="66">
        <v>1750000.0</v>
      </c>
      <c r="H77" s="66">
        <v>3910.0</v>
      </c>
      <c r="I77" s="66">
        <v>5700000.0</v>
      </c>
      <c r="J77" s="66">
        <v>42420.0</v>
      </c>
      <c r="K77" s="66">
        <v>6.21E7</v>
      </c>
      <c r="L77" s="96"/>
      <c r="M77" s="96"/>
      <c r="N77" s="96"/>
      <c r="O77" s="96"/>
      <c r="P77" s="96"/>
      <c r="Q77" s="96"/>
      <c r="R77" s="96"/>
      <c r="S77" s="96"/>
      <c r="T77" s="96"/>
      <c r="U77" s="96"/>
      <c r="V77" s="96"/>
      <c r="W77" s="96"/>
      <c r="X77" s="96"/>
      <c r="Y77" s="96"/>
      <c r="Z77" s="96"/>
      <c r="AA77" s="96"/>
      <c r="AB77" s="96"/>
      <c r="AC77" s="96"/>
      <c r="AD77" s="96"/>
      <c r="AE77" s="96"/>
    </row>
    <row r="78">
      <c r="A78" s="97">
        <f t="shared" si="3"/>
        <v>74</v>
      </c>
      <c r="B78" s="111">
        <v>346.0</v>
      </c>
      <c r="C78" s="111">
        <v>350000.0</v>
      </c>
      <c r="D78" s="66">
        <f t="shared" si="1"/>
        <v>8728</v>
      </c>
      <c r="E78" s="66">
        <f t="shared" si="2"/>
        <v>4788800</v>
      </c>
      <c r="F78" s="66">
        <v>1730.0</v>
      </c>
      <c r="G78" s="66">
        <v>1750000.0</v>
      </c>
      <c r="H78" s="66">
        <v>4060.0</v>
      </c>
      <c r="I78" s="66">
        <v>6250000.0</v>
      </c>
      <c r="J78" s="66">
        <v>43850.0</v>
      </c>
      <c r="K78" s="66">
        <v>6.525E7</v>
      </c>
      <c r="L78" s="96"/>
      <c r="M78" s="96"/>
      <c r="N78" s="96"/>
      <c r="O78" s="96"/>
      <c r="P78" s="96"/>
      <c r="Q78" s="96"/>
      <c r="R78" s="96"/>
      <c r="S78" s="96"/>
      <c r="T78" s="96"/>
      <c r="U78" s="96"/>
      <c r="V78" s="96"/>
      <c r="W78" s="96"/>
      <c r="X78" s="96"/>
      <c r="Y78" s="96"/>
      <c r="Z78" s="96"/>
      <c r="AA78" s="96"/>
      <c r="AB78" s="96"/>
      <c r="AC78" s="96"/>
      <c r="AD78" s="96"/>
      <c r="AE78" s="96"/>
    </row>
    <row r="79">
      <c r="A79" s="97">
        <f t="shared" si="3"/>
        <v>75</v>
      </c>
      <c r="B79" s="111">
        <v>346.0</v>
      </c>
      <c r="C79" s="111">
        <v>350000.0</v>
      </c>
      <c r="D79" s="66">
        <f t="shared" si="1"/>
        <v>9074</v>
      </c>
      <c r="E79" s="66">
        <f t="shared" si="2"/>
        <v>5138800</v>
      </c>
      <c r="F79" s="66">
        <v>1730.0</v>
      </c>
      <c r="G79" s="66">
        <v>2300000.0</v>
      </c>
      <c r="H79" s="66">
        <v>4210.0</v>
      </c>
      <c r="I79" s="66">
        <v>6800000.0</v>
      </c>
      <c r="J79" s="66">
        <v>45290.0</v>
      </c>
      <c r="K79" s="66">
        <v>6.84E7</v>
      </c>
      <c r="L79" s="96"/>
      <c r="M79" s="96"/>
      <c r="N79" s="96"/>
      <c r="O79" s="96"/>
      <c r="P79" s="96"/>
      <c r="Q79" s="96"/>
      <c r="R79" s="96"/>
      <c r="S79" s="96"/>
      <c r="T79" s="96"/>
      <c r="U79" s="96"/>
      <c r="V79" s="96"/>
      <c r="W79" s="96"/>
      <c r="X79" s="96"/>
      <c r="Y79" s="96"/>
      <c r="Z79" s="96"/>
      <c r="AA79" s="96"/>
      <c r="AB79" s="96"/>
      <c r="AC79" s="96"/>
      <c r="AD79" s="96"/>
      <c r="AE79" s="96"/>
    </row>
    <row r="80">
      <c r="A80" s="97">
        <f t="shared" si="3"/>
        <v>76</v>
      </c>
      <c r="B80" s="111">
        <v>346.0</v>
      </c>
      <c r="C80" s="111">
        <v>350000.0</v>
      </c>
      <c r="D80" s="66">
        <f t="shared" si="1"/>
        <v>9420</v>
      </c>
      <c r="E80" s="66">
        <f t="shared" si="2"/>
        <v>5488800</v>
      </c>
      <c r="F80" s="66">
        <v>1880.0</v>
      </c>
      <c r="G80" s="66">
        <v>2850000.0</v>
      </c>
      <c r="H80" s="66">
        <v>4350.0</v>
      </c>
      <c r="I80" s="66">
        <v>7350000.0</v>
      </c>
      <c r="J80" s="66">
        <v>46730.0</v>
      </c>
      <c r="K80" s="66">
        <v>7.155E7</v>
      </c>
      <c r="L80" s="96"/>
      <c r="M80" s="96"/>
      <c r="N80" s="96"/>
      <c r="O80" s="96"/>
      <c r="P80" s="96"/>
      <c r="Q80" s="96"/>
      <c r="R80" s="96"/>
      <c r="S80" s="96"/>
      <c r="T80" s="96"/>
      <c r="U80" s="96"/>
      <c r="V80" s="96"/>
      <c r="W80" s="96"/>
      <c r="X80" s="96"/>
      <c r="Y80" s="96"/>
      <c r="Z80" s="96"/>
      <c r="AA80" s="96"/>
      <c r="AB80" s="96"/>
      <c r="AC80" s="96"/>
      <c r="AD80" s="96"/>
      <c r="AE80" s="96"/>
    </row>
    <row r="81">
      <c r="A81" s="97">
        <f t="shared" si="3"/>
        <v>77</v>
      </c>
      <c r="B81" s="111">
        <v>346.0</v>
      </c>
      <c r="C81" s="111">
        <v>350000.0</v>
      </c>
      <c r="D81" s="66">
        <f t="shared" si="1"/>
        <v>9766</v>
      </c>
      <c r="E81" s="66">
        <f t="shared" si="2"/>
        <v>5838800</v>
      </c>
      <c r="F81" s="66">
        <v>2030.0</v>
      </c>
      <c r="G81" s="66">
        <v>3400000.0</v>
      </c>
      <c r="H81" s="66">
        <v>4500.0</v>
      </c>
      <c r="I81" s="66">
        <v>7900000.0</v>
      </c>
      <c r="J81" s="66">
        <v>48160.0</v>
      </c>
      <c r="K81" s="66">
        <v>7.47E7</v>
      </c>
      <c r="L81" s="96"/>
      <c r="M81" s="96"/>
      <c r="N81" s="96"/>
      <c r="O81" s="96"/>
      <c r="P81" s="96"/>
      <c r="Q81" s="96"/>
      <c r="R81" s="96"/>
      <c r="S81" s="96"/>
      <c r="T81" s="96"/>
      <c r="U81" s="96"/>
      <c r="V81" s="96"/>
      <c r="W81" s="96"/>
      <c r="X81" s="96"/>
      <c r="Y81" s="96"/>
      <c r="Z81" s="96"/>
      <c r="AA81" s="96"/>
      <c r="AB81" s="96"/>
      <c r="AC81" s="96"/>
      <c r="AD81" s="96"/>
      <c r="AE81" s="96"/>
    </row>
    <row r="82">
      <c r="A82" s="97">
        <f t="shared" si="3"/>
        <v>78</v>
      </c>
      <c r="B82" s="111">
        <v>346.0</v>
      </c>
      <c r="C82" s="111">
        <v>350000.0</v>
      </c>
      <c r="D82" s="66">
        <f t="shared" si="1"/>
        <v>10112</v>
      </c>
      <c r="E82" s="66">
        <f t="shared" si="2"/>
        <v>6188800</v>
      </c>
      <c r="F82" s="66">
        <v>2180.0</v>
      </c>
      <c r="G82" s="66">
        <v>3950000.0</v>
      </c>
      <c r="H82" s="66">
        <v>4650.0</v>
      </c>
      <c r="I82" s="66">
        <v>8450000.0</v>
      </c>
      <c r="J82" s="66">
        <v>49600.0</v>
      </c>
      <c r="K82" s="66">
        <v>7.785E7</v>
      </c>
      <c r="L82" s="96"/>
      <c r="M82" s="96"/>
      <c r="N82" s="96"/>
      <c r="O82" s="96"/>
      <c r="P82" s="96"/>
      <c r="Q82" s="96"/>
      <c r="R82" s="96"/>
      <c r="S82" s="96"/>
      <c r="T82" s="96"/>
      <c r="U82" s="96"/>
      <c r="V82" s="96"/>
      <c r="W82" s="96"/>
      <c r="X82" s="96"/>
      <c r="Y82" s="96"/>
      <c r="Z82" s="96"/>
      <c r="AA82" s="96"/>
      <c r="AB82" s="96"/>
      <c r="AC82" s="96"/>
      <c r="AD82" s="96"/>
      <c r="AE82" s="96"/>
    </row>
    <row r="83">
      <c r="A83" s="97">
        <f t="shared" si="3"/>
        <v>79</v>
      </c>
      <c r="B83" s="111">
        <v>346.0</v>
      </c>
      <c r="C83" s="111">
        <v>900000.0</v>
      </c>
      <c r="D83" s="66">
        <f t="shared" si="1"/>
        <v>10458</v>
      </c>
      <c r="E83" s="66">
        <f t="shared" si="2"/>
        <v>7088800</v>
      </c>
      <c r="F83" s="66">
        <v>2330.0</v>
      </c>
      <c r="G83" s="66">
        <v>4500000.0</v>
      </c>
      <c r="H83" s="66">
        <v>4800.0</v>
      </c>
      <c r="I83" s="66">
        <v>9000000.0</v>
      </c>
      <c r="J83" s="66">
        <v>51030.0</v>
      </c>
      <c r="K83" s="66">
        <v>8.1E7</v>
      </c>
      <c r="L83" s="96"/>
      <c r="M83" s="96"/>
      <c r="N83" s="96"/>
      <c r="O83" s="96"/>
      <c r="P83" s="96"/>
      <c r="Q83" s="96"/>
      <c r="R83" s="96"/>
      <c r="S83" s="96"/>
      <c r="T83" s="96"/>
      <c r="U83" s="96"/>
      <c r="V83" s="96"/>
      <c r="W83" s="96"/>
      <c r="X83" s="96"/>
      <c r="Y83" s="96"/>
      <c r="Z83" s="96"/>
      <c r="AA83" s="96"/>
      <c r="AB83" s="96"/>
      <c r="AC83" s="96"/>
      <c r="AD83" s="96"/>
      <c r="AE83" s="96"/>
    </row>
    <row r="84">
      <c r="A84" s="97">
        <f t="shared" si="3"/>
        <v>80</v>
      </c>
      <c r="B84" s="111">
        <v>495.0</v>
      </c>
      <c r="C84" s="111">
        <v>900000.0</v>
      </c>
      <c r="D84" s="66">
        <f t="shared" si="1"/>
        <v>10953</v>
      </c>
      <c r="E84" s="66">
        <f t="shared" si="2"/>
        <v>7988800</v>
      </c>
      <c r="F84" s="66">
        <v>2480.0</v>
      </c>
      <c r="G84" s="66">
        <v>4500000.0</v>
      </c>
      <c r="H84" s="66">
        <v>4950.0</v>
      </c>
      <c r="I84" s="66">
        <v>9000000.0</v>
      </c>
      <c r="J84" s="66">
        <v>52470.0</v>
      </c>
      <c r="K84" s="66">
        <v>8.36E7</v>
      </c>
      <c r="L84" s="96"/>
      <c r="M84" s="96"/>
      <c r="N84" s="96"/>
      <c r="O84" s="96"/>
      <c r="P84" s="96"/>
      <c r="Q84" s="96"/>
      <c r="R84" s="96"/>
      <c r="S84" s="96"/>
      <c r="T84" s="96"/>
      <c r="U84" s="96"/>
      <c r="V84" s="96"/>
      <c r="W84" s="96"/>
      <c r="X84" s="96"/>
      <c r="Y84" s="96"/>
      <c r="Z84" s="96"/>
      <c r="AA84" s="96"/>
      <c r="AB84" s="96"/>
      <c r="AC84" s="96"/>
      <c r="AD84" s="96"/>
      <c r="AE84" s="96"/>
    </row>
    <row r="85">
      <c r="A85" s="97">
        <f t="shared" si="3"/>
        <v>81</v>
      </c>
      <c r="B85" s="111">
        <v>495.0</v>
      </c>
      <c r="C85" s="111">
        <v>900000.0</v>
      </c>
      <c r="D85" s="66">
        <f t="shared" si="1"/>
        <v>11448</v>
      </c>
      <c r="E85" s="66">
        <f t="shared" si="2"/>
        <v>8888800</v>
      </c>
      <c r="F85" s="66">
        <v>2480.0</v>
      </c>
      <c r="G85" s="66">
        <v>4500000.0</v>
      </c>
      <c r="H85" s="66">
        <v>5150.0</v>
      </c>
      <c r="I85" s="66">
        <v>9000000.0</v>
      </c>
      <c r="J85" s="66">
        <v>54450.0</v>
      </c>
      <c r="K85" s="66">
        <v>8.62E7</v>
      </c>
      <c r="L85" s="96"/>
      <c r="M85" s="96"/>
      <c r="N85" s="96"/>
      <c r="O85" s="96"/>
      <c r="P85" s="96"/>
      <c r="Q85" s="96"/>
      <c r="R85" s="96"/>
      <c r="S85" s="96"/>
      <c r="T85" s="96"/>
      <c r="U85" s="96"/>
      <c r="V85" s="96"/>
      <c r="W85" s="96"/>
      <c r="X85" s="96"/>
      <c r="Y85" s="96"/>
      <c r="Z85" s="96"/>
      <c r="AA85" s="96"/>
      <c r="AB85" s="96"/>
      <c r="AC85" s="96"/>
      <c r="AD85" s="96"/>
      <c r="AE85" s="96"/>
    </row>
    <row r="86">
      <c r="A86" s="97">
        <f t="shared" si="3"/>
        <v>82</v>
      </c>
      <c r="B86" s="111">
        <v>495.0</v>
      </c>
      <c r="C86" s="111">
        <v>900000.0</v>
      </c>
      <c r="D86" s="66">
        <f t="shared" si="1"/>
        <v>11943</v>
      </c>
      <c r="E86" s="66">
        <f t="shared" si="2"/>
        <v>9788800</v>
      </c>
      <c r="F86" s="66">
        <v>2480.0</v>
      </c>
      <c r="G86" s="66">
        <v>4500000.0</v>
      </c>
      <c r="H86" s="66">
        <v>5350.0</v>
      </c>
      <c r="I86" s="66">
        <v>9000000.0</v>
      </c>
      <c r="J86" s="66">
        <v>56430.0</v>
      </c>
      <c r="K86" s="66">
        <v>8.88E7</v>
      </c>
      <c r="L86" s="96"/>
      <c r="M86" s="94">
        <v>7.591</v>
      </c>
      <c r="N86" s="96"/>
      <c r="O86" s="96"/>
      <c r="P86" s="96"/>
      <c r="Q86" s="96"/>
      <c r="R86" s="96"/>
      <c r="S86" s="96"/>
      <c r="T86" s="96"/>
      <c r="U86" s="96"/>
      <c r="V86" s="96"/>
      <c r="W86" s="96"/>
      <c r="X86" s="96"/>
      <c r="Y86" s="96"/>
      <c r="Z86" s="96"/>
      <c r="AA86" s="96"/>
      <c r="AB86" s="96"/>
      <c r="AC86" s="96"/>
      <c r="AD86" s="96"/>
      <c r="AE86" s="96"/>
    </row>
    <row r="87">
      <c r="A87" s="97">
        <f t="shared" si="3"/>
        <v>83</v>
      </c>
      <c r="B87" s="111">
        <v>495.0</v>
      </c>
      <c r="C87" s="111">
        <v>900000.0</v>
      </c>
      <c r="D87" s="66">
        <f t="shared" si="1"/>
        <v>12438</v>
      </c>
      <c r="E87" s="66">
        <f t="shared" si="2"/>
        <v>10688800</v>
      </c>
      <c r="F87" s="66">
        <v>2480.0</v>
      </c>
      <c r="G87" s="66">
        <v>4500000.0</v>
      </c>
      <c r="H87" s="66">
        <v>5540.0</v>
      </c>
      <c r="I87" s="66">
        <v>9000000.0</v>
      </c>
      <c r="J87" s="66">
        <v>58410.0</v>
      </c>
      <c r="K87" s="66">
        <v>9.14E7</v>
      </c>
      <c r="L87" s="96"/>
      <c r="M87" s="96"/>
      <c r="N87" s="96"/>
      <c r="O87" s="96"/>
      <c r="P87" s="96"/>
      <c r="Q87" s="96"/>
      <c r="R87" s="96"/>
      <c r="S87" s="94">
        <v>7.501</v>
      </c>
      <c r="T87" s="96"/>
      <c r="U87" s="96"/>
      <c r="V87" s="96"/>
      <c r="W87" s="96"/>
      <c r="X87" s="96"/>
      <c r="Y87" s="96"/>
      <c r="Z87" s="96"/>
      <c r="AA87" s="96"/>
      <c r="AB87" s="96"/>
      <c r="AC87" s="96"/>
      <c r="AD87" s="96"/>
      <c r="AE87" s="96"/>
    </row>
    <row r="88">
      <c r="A88" s="97">
        <f t="shared" si="3"/>
        <v>84</v>
      </c>
      <c r="B88" s="111">
        <v>495.0</v>
      </c>
      <c r="C88" s="111">
        <v>900000.0</v>
      </c>
      <c r="D88" s="66">
        <f t="shared" si="1"/>
        <v>12933</v>
      </c>
      <c r="E88" s="66">
        <f t="shared" si="2"/>
        <v>11588800</v>
      </c>
      <c r="F88" s="66">
        <v>2480.0</v>
      </c>
      <c r="G88" s="66">
        <v>4500000.0</v>
      </c>
      <c r="H88" s="66">
        <v>5740.0</v>
      </c>
      <c r="I88" s="66">
        <v>9000000.0</v>
      </c>
      <c r="J88" s="66">
        <v>60390.0</v>
      </c>
      <c r="K88" s="66">
        <v>9.4E7</v>
      </c>
      <c r="L88" s="96"/>
      <c r="M88" s="96"/>
      <c r="N88" s="96"/>
      <c r="O88" s="96"/>
      <c r="P88" s="96"/>
      <c r="Q88" s="96"/>
      <c r="R88" s="96"/>
      <c r="S88" s="96"/>
      <c r="T88" s="96"/>
      <c r="U88" s="96"/>
      <c r="V88" s="96"/>
      <c r="W88" s="96"/>
      <c r="X88" s="96"/>
      <c r="Y88" s="94">
        <v>9.405</v>
      </c>
      <c r="Z88" s="96"/>
      <c r="AA88" s="96"/>
      <c r="AB88" s="96"/>
      <c r="AC88" s="96"/>
      <c r="AD88" s="94">
        <v>1.497</v>
      </c>
      <c r="AE88" s="96"/>
    </row>
    <row r="89">
      <c r="A89" s="97">
        <f t="shared" si="3"/>
        <v>85</v>
      </c>
      <c r="B89" s="111">
        <v>495.0</v>
      </c>
      <c r="C89" s="111">
        <v>900000.0</v>
      </c>
      <c r="D89" s="66">
        <f t="shared" si="1"/>
        <v>13428</v>
      </c>
      <c r="E89" s="66">
        <f t="shared" si="2"/>
        <v>12488800</v>
      </c>
      <c r="F89" s="66">
        <v>2480.0</v>
      </c>
      <c r="G89" s="66">
        <v>4500000.0</v>
      </c>
      <c r="H89" s="66">
        <v>5940.0</v>
      </c>
      <c r="I89" s="66">
        <v>9000000.0</v>
      </c>
      <c r="J89" s="66">
        <v>62370.0</v>
      </c>
      <c r="K89" s="66">
        <v>9.66E7</v>
      </c>
      <c r="L89" s="96"/>
      <c r="M89" s="96"/>
      <c r="N89" s="96"/>
      <c r="O89" s="96"/>
      <c r="P89" s="96"/>
      <c r="Q89" s="96"/>
      <c r="R89" s="96"/>
      <c r="S89" s="96"/>
      <c r="T89" s="96"/>
      <c r="U89" s="96"/>
      <c r="V89" s="96"/>
      <c r="W89" s="96"/>
      <c r="X89" s="96"/>
      <c r="Y89" s="96"/>
      <c r="Z89" s="96"/>
      <c r="AA89" s="96"/>
      <c r="AB89" s="96"/>
      <c r="AC89" s="96"/>
      <c r="AD89" s="96"/>
      <c r="AE89" s="96"/>
    </row>
    <row r="90">
      <c r="A90" s="97">
        <f t="shared" si="3"/>
        <v>86</v>
      </c>
      <c r="B90" s="111">
        <v>495.0</v>
      </c>
      <c r="C90" s="111">
        <v>900000.0</v>
      </c>
      <c r="D90" s="66">
        <f t="shared" si="1"/>
        <v>13923</v>
      </c>
      <c r="E90" s="66">
        <f t="shared" si="2"/>
        <v>13388800</v>
      </c>
      <c r="F90" s="66">
        <v>2670.0</v>
      </c>
      <c r="G90" s="66">
        <v>4500000.0</v>
      </c>
      <c r="H90" s="66">
        <v>6140.0</v>
      </c>
      <c r="I90" s="66">
        <v>9000000.0</v>
      </c>
      <c r="J90" s="66">
        <v>64350.0</v>
      </c>
      <c r="K90" s="66">
        <v>9.92E7</v>
      </c>
      <c r="L90" s="96"/>
      <c r="M90" s="96"/>
      <c r="N90" s="96"/>
      <c r="O90" s="96"/>
      <c r="P90" s="96"/>
      <c r="Q90" s="96"/>
      <c r="R90" s="96"/>
      <c r="S90" s="96"/>
      <c r="T90" s="96"/>
      <c r="U90" s="96"/>
      <c r="V90" s="96"/>
      <c r="W90" s="96"/>
      <c r="X90" s="96"/>
      <c r="Y90" s="96"/>
      <c r="Z90" s="96"/>
      <c r="AA90" s="96"/>
      <c r="AB90" s="96"/>
      <c r="AC90" s="96"/>
      <c r="AD90" s="96"/>
      <c r="AE90" s="96"/>
    </row>
    <row r="91">
      <c r="A91" s="97">
        <f t="shared" si="3"/>
        <v>87</v>
      </c>
      <c r="B91" s="111">
        <v>495.0</v>
      </c>
      <c r="C91" s="111">
        <v>900000.0</v>
      </c>
      <c r="D91" s="66">
        <f t="shared" si="1"/>
        <v>14418</v>
      </c>
      <c r="E91" s="66">
        <f t="shared" si="2"/>
        <v>14288800</v>
      </c>
      <c r="F91" s="66">
        <v>2870.0</v>
      </c>
      <c r="G91" s="66">
        <v>4500000.0</v>
      </c>
      <c r="H91" s="66">
        <v>6340.0</v>
      </c>
      <c r="I91" s="66">
        <v>9000000.0</v>
      </c>
      <c r="J91" s="66">
        <v>66330.0</v>
      </c>
      <c r="K91" s="66">
        <v>1.018E8</v>
      </c>
      <c r="L91" s="96"/>
      <c r="M91" s="96"/>
      <c r="N91" s="96"/>
      <c r="O91" s="96"/>
      <c r="P91" s="96"/>
      <c r="Q91" s="96"/>
      <c r="R91" s="96"/>
      <c r="S91" s="96"/>
      <c r="T91" s="96"/>
      <c r="U91" s="96"/>
      <c r="V91" s="96"/>
      <c r="W91" s="96"/>
      <c r="X91" s="96"/>
      <c r="Y91" s="96"/>
      <c r="Z91" s="96"/>
      <c r="AA91" s="96"/>
      <c r="AB91" s="96"/>
      <c r="AC91" s="96"/>
      <c r="AD91" s="96"/>
      <c r="AE91" s="96"/>
    </row>
    <row r="92">
      <c r="A92" s="97">
        <f t="shared" si="3"/>
        <v>88</v>
      </c>
      <c r="B92" s="111">
        <v>495.0</v>
      </c>
      <c r="C92" s="111">
        <v>900000.0</v>
      </c>
      <c r="D92" s="66">
        <f t="shared" si="1"/>
        <v>14913</v>
      </c>
      <c r="E92" s="66">
        <f t="shared" si="2"/>
        <v>15188800</v>
      </c>
      <c r="F92" s="66">
        <v>3070.0</v>
      </c>
      <c r="G92" s="66">
        <v>4500000.0</v>
      </c>
      <c r="H92" s="66">
        <v>6530.0</v>
      </c>
      <c r="I92" s="66">
        <v>9000000.0</v>
      </c>
      <c r="J92" s="66">
        <v>68310.0</v>
      </c>
      <c r="K92" s="66">
        <v>1.044E8</v>
      </c>
      <c r="L92" s="96"/>
      <c r="M92" s="96"/>
      <c r="N92" s="96"/>
      <c r="O92" s="96"/>
      <c r="P92" s="96"/>
      <c r="Q92" s="96"/>
      <c r="R92" s="96"/>
      <c r="S92" s="96"/>
      <c r="T92" s="96"/>
      <c r="U92" s="96"/>
      <c r="V92" s="96"/>
      <c r="W92" s="96"/>
      <c r="X92" s="96"/>
      <c r="Y92" s="96"/>
      <c r="Z92" s="96"/>
      <c r="AA92" s="96"/>
      <c r="AB92" s="96"/>
      <c r="AC92" s="96"/>
      <c r="AD92" s="96"/>
      <c r="AE92" s="96"/>
    </row>
    <row r="93">
      <c r="A93" s="97">
        <f t="shared" si="3"/>
        <v>89</v>
      </c>
      <c r="B93" s="111">
        <v>495.0</v>
      </c>
      <c r="C93" s="111">
        <v>900000.0</v>
      </c>
      <c r="D93" s="66">
        <f t="shared" si="1"/>
        <v>15408</v>
      </c>
      <c r="E93" s="66">
        <f t="shared" si="2"/>
        <v>16088800</v>
      </c>
      <c r="F93" s="66">
        <v>3270.0</v>
      </c>
      <c r="G93" s="66">
        <v>4500000.0</v>
      </c>
      <c r="H93" s="66">
        <v>6730.0</v>
      </c>
      <c r="I93" s="66">
        <v>9000000.0</v>
      </c>
      <c r="J93" s="66">
        <v>70290.0</v>
      </c>
      <c r="K93" s="66">
        <v>1.07E8</v>
      </c>
      <c r="L93" s="96"/>
      <c r="M93" s="96"/>
      <c r="N93" s="96"/>
      <c r="O93" s="96"/>
      <c r="P93" s="96"/>
      <c r="Q93" s="96"/>
      <c r="R93" s="96"/>
      <c r="S93" s="96"/>
      <c r="T93" s="96"/>
      <c r="U93" s="96"/>
      <c r="V93" s="96"/>
      <c r="W93" s="96"/>
      <c r="X93" s="96"/>
      <c r="Y93" s="96"/>
      <c r="Z93" s="96"/>
      <c r="AA93" s="96"/>
      <c r="AB93" s="96"/>
      <c r="AC93" s="96"/>
      <c r="AD93" s="96"/>
      <c r="AE93" s="96"/>
    </row>
    <row r="94">
      <c r="A94" s="97">
        <f t="shared" si="3"/>
        <v>90</v>
      </c>
      <c r="B94" s="66"/>
      <c r="C94" s="111">
        <v>900000.0</v>
      </c>
      <c r="D94" s="89"/>
      <c r="E94" s="89"/>
      <c r="F94" s="89"/>
      <c r="G94" s="89"/>
      <c r="H94" s="89"/>
      <c r="I94" s="89"/>
      <c r="J94" s="89"/>
      <c r="K94" s="89"/>
      <c r="L94" s="96"/>
      <c r="M94" s="96"/>
      <c r="N94" s="96"/>
      <c r="O94" s="96"/>
      <c r="P94" s="96"/>
      <c r="Q94" s="96"/>
      <c r="R94" s="96"/>
      <c r="S94" s="96"/>
      <c r="T94" s="96"/>
      <c r="U94" s="96"/>
      <c r="V94" s="96"/>
      <c r="W94" s="96"/>
      <c r="X94" s="96"/>
      <c r="Y94" s="96"/>
      <c r="Z94" s="96"/>
      <c r="AA94" s="96"/>
      <c r="AB94" s="96"/>
      <c r="AC94" s="96"/>
      <c r="AD94" s="96"/>
      <c r="AE94" s="96"/>
    </row>
    <row r="95">
      <c r="A95" s="97">
        <f t="shared" si="3"/>
        <v>91</v>
      </c>
      <c r="B95" s="66"/>
      <c r="C95" s="111">
        <v>900000.0</v>
      </c>
      <c r="D95" s="89"/>
      <c r="E95" s="89"/>
      <c r="F95" s="89"/>
      <c r="G95" s="89"/>
      <c r="H95" s="89"/>
      <c r="I95" s="89"/>
      <c r="J95" s="89"/>
      <c r="K95" s="89"/>
      <c r="L95" s="96"/>
      <c r="M95" s="96"/>
      <c r="N95" s="96"/>
      <c r="O95" s="96"/>
      <c r="P95" s="96"/>
      <c r="Q95" s="96"/>
      <c r="R95" s="96"/>
      <c r="S95" s="96"/>
      <c r="T95" s="96"/>
      <c r="U95" s="96"/>
      <c r="V95" s="96"/>
      <c r="W95" s="96"/>
      <c r="X95" s="96"/>
      <c r="Y95" s="96"/>
      <c r="Z95" s="96"/>
      <c r="AA95" s="96"/>
      <c r="AB95" s="96"/>
      <c r="AC95" s="96"/>
      <c r="AD95" s="96"/>
      <c r="AE95" s="96"/>
    </row>
    <row r="96">
      <c r="A96" s="97">
        <f t="shared" si="3"/>
        <v>92</v>
      </c>
      <c r="B96" s="66"/>
      <c r="C96" s="111">
        <v>900000.0</v>
      </c>
      <c r="D96" s="89"/>
      <c r="E96" s="89"/>
      <c r="F96" s="89"/>
      <c r="G96" s="89"/>
      <c r="H96" s="89"/>
      <c r="I96" s="89"/>
      <c r="J96" s="89"/>
      <c r="K96" s="89"/>
      <c r="L96" s="96"/>
      <c r="M96" s="96"/>
      <c r="N96" s="96"/>
      <c r="O96" s="96"/>
      <c r="P96" s="96"/>
      <c r="Q96" s="96"/>
      <c r="R96" s="96"/>
      <c r="S96" s="96"/>
      <c r="T96" s="96"/>
      <c r="U96" s="96"/>
      <c r="V96" s="96"/>
      <c r="W96" s="96"/>
      <c r="X96" s="96"/>
      <c r="Y96" s="96"/>
      <c r="Z96" s="96"/>
      <c r="AA96" s="96"/>
      <c r="AB96" s="96"/>
      <c r="AC96" s="96"/>
      <c r="AD96" s="96"/>
      <c r="AE96" s="96"/>
    </row>
    <row r="97">
      <c r="A97" s="97">
        <f t="shared" si="3"/>
        <v>93</v>
      </c>
      <c r="B97" s="66"/>
      <c r="C97" s="111">
        <v>900000.0</v>
      </c>
      <c r="D97" s="89"/>
      <c r="E97" s="89"/>
      <c r="F97" s="89"/>
      <c r="G97" s="89"/>
      <c r="H97" s="89"/>
      <c r="I97" s="89"/>
      <c r="J97" s="89"/>
      <c r="K97" s="89"/>
      <c r="L97" s="96"/>
      <c r="M97" s="96"/>
      <c r="N97" s="96"/>
      <c r="O97" s="96"/>
      <c r="P97" s="96"/>
      <c r="Q97" s="96"/>
      <c r="R97" s="96"/>
      <c r="S97" s="96"/>
      <c r="T97" s="96"/>
      <c r="U97" s="96"/>
      <c r="V97" s="96"/>
      <c r="W97" s="96"/>
      <c r="X97" s="96"/>
      <c r="Y97" s="96"/>
      <c r="Z97" s="96"/>
      <c r="AA97" s="96"/>
      <c r="AB97" s="96"/>
      <c r="AC97" s="96"/>
      <c r="AD97" s="96"/>
      <c r="AE97" s="96"/>
    </row>
    <row r="98">
      <c r="A98" s="97">
        <f t="shared" si="3"/>
        <v>94</v>
      </c>
      <c r="B98" s="66"/>
      <c r="C98" s="111">
        <v>900000.0</v>
      </c>
      <c r="D98" s="89"/>
      <c r="E98" s="89"/>
      <c r="F98" s="89"/>
      <c r="G98" s="89"/>
      <c r="H98" s="89"/>
      <c r="I98" s="89"/>
      <c r="J98" s="89"/>
      <c r="K98" s="89"/>
      <c r="L98" s="96"/>
      <c r="M98" s="96"/>
      <c r="N98" s="96"/>
      <c r="O98" s="96"/>
      <c r="P98" s="96"/>
      <c r="Q98" s="96"/>
      <c r="R98" s="96"/>
      <c r="S98" s="96"/>
      <c r="T98" s="96"/>
      <c r="U98" s="96"/>
      <c r="V98" s="96"/>
      <c r="W98" s="96"/>
      <c r="X98" s="96"/>
      <c r="Y98" s="96"/>
      <c r="Z98" s="96"/>
      <c r="AA98" s="96"/>
      <c r="AB98" s="96"/>
      <c r="AC98" s="96"/>
      <c r="AD98" s="96"/>
      <c r="AE98" s="96"/>
    </row>
    <row r="99">
      <c r="A99" s="97">
        <f t="shared" si="3"/>
        <v>95</v>
      </c>
      <c r="B99" s="66"/>
      <c r="C99" s="111">
        <v>900000.0</v>
      </c>
      <c r="D99" s="89"/>
      <c r="E99" s="89"/>
      <c r="F99" s="89"/>
      <c r="G99" s="89"/>
      <c r="H99" s="89"/>
      <c r="I99" s="89"/>
      <c r="J99" s="89"/>
      <c r="K99" s="89"/>
      <c r="L99" s="96"/>
      <c r="M99" s="96"/>
      <c r="N99" s="96"/>
      <c r="O99" s="96"/>
      <c r="P99" s="96"/>
      <c r="Q99" s="96"/>
      <c r="R99" s="96"/>
      <c r="S99" s="96"/>
      <c r="T99" s="96"/>
      <c r="U99" s="96"/>
      <c r="V99" s="96"/>
      <c r="W99" s="96"/>
      <c r="X99" s="96"/>
      <c r="Y99" s="96"/>
      <c r="Z99" s="96"/>
      <c r="AA99" s="96"/>
      <c r="AB99" s="96"/>
      <c r="AC99" s="96"/>
      <c r="AD99" s="96"/>
      <c r="AE99" s="96"/>
    </row>
    <row r="100">
      <c r="A100" s="97">
        <f t="shared" si="3"/>
        <v>96</v>
      </c>
      <c r="B100" s="89"/>
      <c r="C100" s="111">
        <v>900000.0</v>
      </c>
      <c r="D100" s="89"/>
      <c r="E100" s="89"/>
      <c r="F100" s="89"/>
      <c r="G100" s="89"/>
      <c r="H100" s="89"/>
      <c r="I100" s="89"/>
      <c r="J100" s="89"/>
      <c r="K100" s="89"/>
      <c r="L100" s="96"/>
      <c r="M100" s="96"/>
      <c r="N100" s="96"/>
      <c r="O100" s="96"/>
      <c r="P100" s="96"/>
      <c r="Q100" s="96"/>
      <c r="R100" s="96"/>
      <c r="S100" s="96"/>
      <c r="T100" s="96"/>
      <c r="U100" s="96"/>
      <c r="V100" s="96"/>
      <c r="W100" s="96"/>
      <c r="X100" s="96"/>
      <c r="Y100" s="96"/>
      <c r="Z100" s="96"/>
      <c r="AA100" s="96"/>
      <c r="AB100" s="96"/>
      <c r="AC100" s="96"/>
      <c r="AD100" s="96"/>
      <c r="AE100" s="96"/>
    </row>
    <row r="101">
      <c r="A101" s="97">
        <f t="shared" si="3"/>
        <v>97</v>
      </c>
      <c r="B101" s="89"/>
      <c r="C101" s="111">
        <v>900000.0</v>
      </c>
      <c r="D101" s="89"/>
      <c r="E101" s="89"/>
      <c r="F101" s="89"/>
      <c r="G101" s="89"/>
      <c r="H101" s="89"/>
      <c r="I101" s="89"/>
      <c r="J101" s="89"/>
      <c r="K101" s="89"/>
      <c r="L101" s="96"/>
      <c r="M101" s="96"/>
      <c r="N101" s="96"/>
      <c r="O101" s="96"/>
      <c r="P101" s="96"/>
      <c r="Q101" s="96"/>
      <c r="R101" s="96"/>
      <c r="S101" s="96"/>
      <c r="T101" s="96"/>
      <c r="U101" s="96"/>
      <c r="V101" s="96"/>
      <c r="W101" s="96"/>
      <c r="X101" s="96"/>
      <c r="Y101" s="96"/>
      <c r="Z101" s="96"/>
      <c r="AA101" s="96"/>
      <c r="AB101" s="96"/>
      <c r="AC101" s="96"/>
      <c r="AD101" s="96"/>
      <c r="AE101" s="96"/>
    </row>
    <row r="102">
      <c r="A102" s="97">
        <f t="shared" si="3"/>
        <v>98</v>
      </c>
      <c r="B102" s="89"/>
      <c r="C102" s="111">
        <v>900000.0</v>
      </c>
      <c r="D102" s="89"/>
      <c r="E102" s="89"/>
      <c r="F102" s="89"/>
      <c r="G102" s="89"/>
      <c r="H102" s="89"/>
      <c r="I102" s="89"/>
      <c r="J102" s="89"/>
      <c r="K102" s="89"/>
      <c r="L102" s="96"/>
      <c r="M102" s="96"/>
      <c r="N102" s="96"/>
      <c r="O102" s="96"/>
      <c r="P102" s="96"/>
      <c r="Q102" s="96"/>
      <c r="R102" s="96"/>
      <c r="S102" s="96"/>
      <c r="T102" s="96"/>
      <c r="U102" s="96"/>
      <c r="V102" s="96"/>
      <c r="W102" s="96"/>
      <c r="X102" s="96"/>
      <c r="Y102" s="96"/>
      <c r="Z102" s="96"/>
      <c r="AA102" s="96"/>
      <c r="AB102" s="96"/>
      <c r="AC102" s="96"/>
      <c r="AD102" s="96"/>
      <c r="AE102" s="96"/>
    </row>
    <row r="103">
      <c r="A103" s="97">
        <f t="shared" si="3"/>
        <v>99</v>
      </c>
      <c r="B103" s="89"/>
      <c r="C103" s="89"/>
      <c r="D103" s="89"/>
      <c r="E103" s="89"/>
      <c r="F103" s="89"/>
      <c r="G103" s="89"/>
      <c r="H103" s="89"/>
      <c r="I103" s="89"/>
      <c r="J103" s="89"/>
      <c r="K103" s="89"/>
      <c r="L103" s="96"/>
      <c r="M103" s="96"/>
      <c r="N103" s="96"/>
      <c r="O103" s="96"/>
      <c r="P103" s="96"/>
      <c r="Q103" s="96"/>
      <c r="R103" s="96"/>
      <c r="S103" s="96"/>
      <c r="T103" s="96"/>
      <c r="U103" s="96"/>
      <c r="V103" s="96"/>
      <c r="W103" s="96"/>
      <c r="X103" s="96"/>
      <c r="Y103" s="96"/>
      <c r="Z103" s="96"/>
      <c r="AA103" s="96"/>
      <c r="AB103" s="96"/>
      <c r="AC103" s="96"/>
      <c r="AD103" s="96"/>
      <c r="AE103" s="96"/>
    </row>
    <row r="104">
      <c r="A104" s="97">
        <f t="shared" si="3"/>
        <v>100</v>
      </c>
      <c r="B104" s="89"/>
      <c r="C104" s="89"/>
      <c r="D104" s="89"/>
      <c r="E104" s="89"/>
      <c r="F104" s="89"/>
      <c r="G104" s="89"/>
      <c r="H104" s="89"/>
      <c r="I104" s="89"/>
      <c r="J104" s="89"/>
      <c r="K104" s="89"/>
      <c r="L104" s="96"/>
      <c r="M104" s="96"/>
      <c r="N104" s="96"/>
      <c r="O104" s="96"/>
      <c r="P104" s="96"/>
      <c r="Q104" s="96"/>
      <c r="R104" s="96"/>
      <c r="S104" s="96"/>
      <c r="T104" s="96"/>
      <c r="U104" s="96"/>
      <c r="V104" s="96"/>
      <c r="W104" s="96"/>
      <c r="X104" s="96"/>
      <c r="Y104" s="96"/>
      <c r="Z104" s="96"/>
      <c r="AA104" s="96"/>
      <c r="AB104" s="96"/>
      <c r="AC104" s="96"/>
      <c r="AD104" s="96"/>
      <c r="AE104" s="96"/>
    </row>
    <row r="105">
      <c r="A105" s="97">
        <f t="shared" si="3"/>
        <v>101</v>
      </c>
      <c r="B105" s="111">
        <v>990.0</v>
      </c>
      <c r="C105" s="111">
        <v>1400000.0</v>
      </c>
      <c r="D105" s="66"/>
      <c r="E105" s="66"/>
      <c r="F105" s="66"/>
      <c r="G105" s="66"/>
      <c r="H105" s="66"/>
      <c r="I105" s="66"/>
      <c r="J105" s="66"/>
      <c r="K105" s="66"/>
      <c r="L105" s="96"/>
      <c r="M105" s="94">
        <v>9.887</v>
      </c>
      <c r="N105" s="96"/>
      <c r="O105" s="96"/>
      <c r="P105" s="96"/>
      <c r="Q105" s="96"/>
      <c r="R105" s="96"/>
      <c r="S105" s="96"/>
      <c r="T105" s="96"/>
      <c r="U105" s="96"/>
      <c r="V105" s="96"/>
      <c r="W105" s="96"/>
      <c r="X105" s="96"/>
      <c r="Y105" s="96"/>
      <c r="Z105" s="96"/>
      <c r="AA105" s="96"/>
      <c r="AB105" s="96"/>
      <c r="AC105" s="96"/>
      <c r="AD105" s="96"/>
      <c r="AE105" s="96"/>
    </row>
    <row r="106">
      <c r="A106" s="97">
        <f t="shared" si="3"/>
        <v>102</v>
      </c>
      <c r="B106" s="89"/>
      <c r="C106" s="89"/>
      <c r="D106" s="89"/>
      <c r="E106" s="89"/>
      <c r="F106" s="89"/>
      <c r="G106" s="89"/>
      <c r="H106" s="89"/>
      <c r="I106" s="89"/>
      <c r="J106" s="89"/>
      <c r="K106" s="89"/>
      <c r="L106" s="96"/>
      <c r="M106" s="96"/>
      <c r="N106" s="96"/>
      <c r="O106" s="96"/>
      <c r="P106" s="96"/>
      <c r="Q106" s="96"/>
      <c r="R106" s="96"/>
      <c r="S106" s="96"/>
      <c r="T106" s="96"/>
      <c r="U106" s="96"/>
      <c r="V106" s="96"/>
      <c r="W106" s="96"/>
      <c r="X106" s="96"/>
      <c r="Y106" s="96"/>
      <c r="Z106" s="96"/>
      <c r="AA106" s="96"/>
      <c r="AB106" s="96"/>
      <c r="AC106" s="96"/>
      <c r="AD106" s="96"/>
      <c r="AE106" s="96"/>
    </row>
    <row r="107">
      <c r="A107" s="97">
        <f t="shared" si="3"/>
        <v>103</v>
      </c>
      <c r="B107" s="89"/>
      <c r="C107" s="89"/>
      <c r="D107" s="89"/>
      <c r="E107" s="89"/>
      <c r="F107" s="89"/>
      <c r="G107" s="89"/>
      <c r="H107" s="89"/>
      <c r="I107" s="89"/>
      <c r="J107" s="89"/>
      <c r="K107" s="89"/>
      <c r="L107" s="96"/>
      <c r="M107" s="96"/>
      <c r="N107" s="96"/>
      <c r="O107" s="96"/>
      <c r="P107" s="96"/>
      <c r="Q107" s="96"/>
      <c r="R107" s="96"/>
      <c r="S107" s="96"/>
      <c r="T107" s="96"/>
      <c r="U107" s="96"/>
      <c r="V107" s="96"/>
      <c r="W107" s="96"/>
      <c r="X107" s="96"/>
      <c r="Y107" s="96"/>
      <c r="Z107" s="96"/>
      <c r="AA107" s="96"/>
      <c r="AB107" s="96"/>
      <c r="AC107" s="96"/>
      <c r="AD107" s="96"/>
      <c r="AE107" s="96"/>
    </row>
    <row r="108">
      <c r="A108" s="97">
        <f t="shared" si="3"/>
        <v>104</v>
      </c>
      <c r="B108" s="89"/>
      <c r="C108" s="89"/>
      <c r="D108" s="89"/>
      <c r="E108" s="89"/>
      <c r="F108" s="89"/>
      <c r="G108" s="89"/>
      <c r="H108" s="89"/>
      <c r="I108" s="89"/>
      <c r="J108" s="89"/>
      <c r="K108" s="89"/>
      <c r="L108" s="96"/>
      <c r="M108" s="96"/>
      <c r="N108" s="96"/>
      <c r="O108" s="96"/>
      <c r="P108" s="96"/>
      <c r="Q108" s="96"/>
      <c r="R108" s="96"/>
      <c r="S108" s="96"/>
      <c r="T108" s="96"/>
      <c r="U108" s="96"/>
      <c r="V108" s="96"/>
      <c r="W108" s="96"/>
      <c r="X108" s="96"/>
      <c r="Y108" s="96"/>
      <c r="Z108" s="96"/>
      <c r="AA108" s="96"/>
      <c r="AB108" s="96"/>
      <c r="AC108" s="96"/>
      <c r="AD108" s="96"/>
      <c r="AE108" s="96"/>
    </row>
    <row r="109">
      <c r="A109" s="97">
        <f t="shared" si="3"/>
        <v>105</v>
      </c>
      <c r="B109" s="89"/>
      <c r="C109" s="89"/>
      <c r="D109" s="89"/>
      <c r="E109" s="89"/>
      <c r="F109" s="89"/>
      <c r="G109" s="89"/>
      <c r="H109" s="89"/>
      <c r="I109" s="89"/>
      <c r="J109" s="89"/>
      <c r="K109" s="89"/>
      <c r="L109" s="96"/>
      <c r="M109" s="96"/>
      <c r="N109" s="96"/>
      <c r="O109" s="96"/>
      <c r="P109" s="96"/>
      <c r="Q109" s="96"/>
      <c r="R109" s="96"/>
      <c r="S109" s="96"/>
      <c r="T109" s="96"/>
      <c r="U109" s="96"/>
      <c r="V109" s="96"/>
      <c r="W109" s="96"/>
      <c r="X109" s="96"/>
      <c r="Y109" s="96"/>
      <c r="Z109" s="96"/>
      <c r="AA109" s="96"/>
      <c r="AB109" s="96"/>
      <c r="AC109" s="96"/>
      <c r="AD109" s="96"/>
      <c r="AE109" s="96"/>
    </row>
    <row r="110">
      <c r="A110" s="97">
        <f t="shared" si="3"/>
        <v>106</v>
      </c>
      <c r="B110" s="89"/>
      <c r="C110" s="89"/>
      <c r="D110" s="89"/>
      <c r="E110" s="89"/>
      <c r="F110" s="89"/>
      <c r="G110" s="89"/>
      <c r="H110" s="89"/>
      <c r="I110" s="89"/>
      <c r="J110" s="89"/>
      <c r="K110" s="89"/>
      <c r="L110" s="96"/>
      <c r="M110" s="96"/>
      <c r="N110" s="96"/>
      <c r="O110" s="96"/>
      <c r="P110" s="96"/>
      <c r="Q110" s="96"/>
      <c r="R110" s="96"/>
      <c r="S110" s="96"/>
      <c r="T110" s="96"/>
      <c r="U110" s="96"/>
      <c r="V110" s="96"/>
      <c r="W110" s="96"/>
      <c r="X110" s="96"/>
      <c r="Y110" s="96"/>
      <c r="Z110" s="96"/>
      <c r="AA110" s="96"/>
      <c r="AB110" s="96"/>
      <c r="AC110" s="96"/>
      <c r="AD110" s="96"/>
      <c r="AE110" s="96"/>
    </row>
    <row r="111">
      <c r="A111" s="97">
        <f t="shared" si="3"/>
        <v>107</v>
      </c>
      <c r="B111" s="89"/>
      <c r="C111" s="89"/>
      <c r="D111" s="89"/>
      <c r="E111" s="89"/>
      <c r="F111" s="89"/>
      <c r="G111" s="89"/>
      <c r="H111" s="89"/>
      <c r="I111" s="89"/>
      <c r="J111" s="89"/>
      <c r="K111" s="89"/>
      <c r="L111" s="96"/>
      <c r="M111" s="96"/>
      <c r="N111" s="96"/>
      <c r="O111" s="96"/>
      <c r="P111" s="96"/>
      <c r="Q111" s="96"/>
      <c r="R111" s="96"/>
      <c r="S111" s="96"/>
      <c r="T111" s="96"/>
      <c r="U111" s="96"/>
      <c r="V111" s="96"/>
      <c r="W111" s="96"/>
      <c r="X111" s="96"/>
      <c r="Y111" s="96"/>
      <c r="Z111" s="96"/>
      <c r="AA111" s="96"/>
      <c r="AB111" s="96"/>
      <c r="AC111" s="96"/>
      <c r="AD111" s="96"/>
      <c r="AE111" s="96"/>
    </row>
    <row r="112">
      <c r="A112" s="97">
        <f t="shared" si="3"/>
        <v>108</v>
      </c>
      <c r="B112" s="89"/>
      <c r="C112" s="89"/>
      <c r="D112" s="89"/>
      <c r="E112" s="89"/>
      <c r="F112" s="89"/>
      <c r="G112" s="89"/>
      <c r="H112" s="89"/>
      <c r="I112" s="89"/>
      <c r="J112" s="89"/>
      <c r="K112" s="89"/>
      <c r="L112" s="96"/>
      <c r="M112" s="96"/>
      <c r="N112" s="96"/>
      <c r="O112" s="96"/>
      <c r="P112" s="96"/>
      <c r="Q112" s="96"/>
      <c r="R112" s="96"/>
      <c r="S112" s="96"/>
      <c r="T112" s="96"/>
      <c r="U112" s="96"/>
      <c r="V112" s="96"/>
      <c r="W112" s="96"/>
      <c r="X112" s="96"/>
      <c r="Y112" s="96"/>
      <c r="Z112" s="96"/>
      <c r="AA112" s="96"/>
      <c r="AB112" s="96"/>
      <c r="AC112" s="96"/>
      <c r="AD112" s="96"/>
      <c r="AE112" s="96"/>
    </row>
    <row r="113">
      <c r="A113" s="97">
        <f t="shared" si="3"/>
        <v>109</v>
      </c>
      <c r="B113" s="89"/>
      <c r="C113" s="89"/>
      <c r="D113" s="89"/>
      <c r="E113" s="89"/>
      <c r="F113" s="89"/>
      <c r="G113" s="89"/>
      <c r="H113" s="89"/>
      <c r="I113" s="89"/>
      <c r="J113" s="89"/>
      <c r="K113" s="89"/>
      <c r="L113" s="96"/>
      <c r="M113" s="96"/>
      <c r="N113" s="96"/>
      <c r="O113" s="96"/>
      <c r="P113" s="96"/>
      <c r="Q113" s="96"/>
      <c r="R113" s="96"/>
      <c r="S113" s="96"/>
      <c r="T113" s="96"/>
      <c r="U113" s="96"/>
      <c r="V113" s="96"/>
      <c r="W113" s="96"/>
      <c r="X113" s="96"/>
      <c r="Y113" s="96"/>
      <c r="Z113" s="96"/>
      <c r="AA113" s="96"/>
      <c r="AB113" s="96"/>
      <c r="AC113" s="96"/>
      <c r="AD113" s="96"/>
      <c r="AE113" s="96"/>
    </row>
    <row r="114">
      <c r="A114" s="97">
        <f t="shared" si="3"/>
        <v>110</v>
      </c>
      <c r="B114" s="89"/>
      <c r="C114" s="89"/>
      <c r="D114" s="89"/>
      <c r="E114" s="89"/>
      <c r="F114" s="89"/>
      <c r="G114" s="89"/>
      <c r="H114" s="89"/>
      <c r="I114" s="89"/>
      <c r="J114" s="89"/>
      <c r="K114" s="89"/>
      <c r="L114" s="96"/>
      <c r="M114" s="96"/>
      <c r="N114" s="96"/>
      <c r="O114" s="96"/>
      <c r="P114" s="96"/>
      <c r="Q114" s="96"/>
      <c r="R114" s="96"/>
      <c r="S114" s="96"/>
      <c r="T114" s="96"/>
      <c r="U114" s="96"/>
      <c r="V114" s="96"/>
      <c r="W114" s="96"/>
      <c r="X114" s="96"/>
      <c r="Y114" s="96"/>
      <c r="Z114" s="96"/>
      <c r="AA114" s="96"/>
      <c r="AB114" s="96"/>
      <c r="AC114" s="96"/>
      <c r="AD114" s="96"/>
      <c r="AE114" s="96"/>
    </row>
    <row r="115">
      <c r="A115" s="97">
        <f t="shared" si="3"/>
        <v>111</v>
      </c>
      <c r="B115" s="89"/>
      <c r="C115" s="89"/>
      <c r="D115" s="89"/>
      <c r="E115" s="89"/>
      <c r="F115" s="89"/>
      <c r="G115" s="89"/>
      <c r="H115" s="89"/>
      <c r="I115" s="89"/>
      <c r="J115" s="89"/>
      <c r="K115" s="89"/>
      <c r="L115" s="96"/>
      <c r="M115" s="96"/>
      <c r="N115" s="96"/>
      <c r="O115" s="96"/>
      <c r="P115" s="96"/>
      <c r="Q115" s="96"/>
      <c r="R115" s="96"/>
      <c r="S115" s="96"/>
      <c r="T115" s="96"/>
      <c r="U115" s="96"/>
      <c r="V115" s="96"/>
      <c r="W115" s="96"/>
      <c r="X115" s="96"/>
      <c r="Y115" s="96"/>
      <c r="Z115" s="96"/>
      <c r="AA115" s="96"/>
      <c r="AB115" s="96"/>
      <c r="AC115" s="96"/>
      <c r="AD115" s="96"/>
      <c r="AE115" s="96"/>
    </row>
    <row r="116">
      <c r="A116" s="97">
        <f t="shared" si="3"/>
        <v>112</v>
      </c>
      <c r="B116" s="89"/>
      <c r="C116" s="89"/>
      <c r="D116" s="89"/>
      <c r="E116" s="89"/>
      <c r="F116" s="89"/>
      <c r="G116" s="89"/>
      <c r="H116" s="89"/>
      <c r="I116" s="89"/>
      <c r="J116" s="89"/>
      <c r="K116" s="89"/>
      <c r="L116" s="96"/>
      <c r="M116" s="96"/>
      <c r="N116" s="96"/>
      <c r="O116" s="96"/>
      <c r="P116" s="96"/>
      <c r="Q116" s="96"/>
      <c r="R116" s="96"/>
      <c r="S116" s="96"/>
      <c r="T116" s="96"/>
      <c r="U116" s="96"/>
      <c r="V116" s="96"/>
      <c r="W116" s="96"/>
      <c r="X116" s="96"/>
      <c r="Y116" s="96"/>
      <c r="Z116" s="96"/>
      <c r="AA116" s="96"/>
      <c r="AB116" s="96"/>
      <c r="AC116" s="96"/>
      <c r="AD116" s="96"/>
      <c r="AE116" s="96"/>
    </row>
    <row r="117">
      <c r="A117" s="97">
        <f t="shared" si="3"/>
        <v>113</v>
      </c>
      <c r="B117" s="89"/>
      <c r="C117" s="89"/>
      <c r="D117" s="89"/>
      <c r="E117" s="89"/>
      <c r="F117" s="89"/>
      <c r="G117" s="89"/>
      <c r="H117" s="89"/>
      <c r="I117" s="89"/>
      <c r="J117" s="89"/>
      <c r="K117" s="89"/>
      <c r="L117" s="96"/>
      <c r="M117" s="96"/>
      <c r="N117" s="96"/>
      <c r="O117" s="96"/>
      <c r="P117" s="96"/>
      <c r="Q117" s="96"/>
      <c r="R117" s="96"/>
      <c r="S117" s="96"/>
      <c r="T117" s="96"/>
      <c r="U117" s="96"/>
      <c r="V117" s="96"/>
      <c r="W117" s="96"/>
      <c r="X117" s="96"/>
      <c r="Y117" s="96"/>
      <c r="Z117" s="96"/>
      <c r="AA117" s="96"/>
      <c r="AB117" s="96"/>
      <c r="AC117" s="96"/>
      <c r="AD117" s="96"/>
      <c r="AE117" s="96"/>
    </row>
    <row r="118">
      <c r="A118" s="97">
        <f t="shared" si="3"/>
        <v>114</v>
      </c>
      <c r="B118" s="89"/>
      <c r="C118" s="89"/>
      <c r="D118" s="89"/>
      <c r="E118" s="89"/>
      <c r="F118" s="89"/>
      <c r="G118" s="89"/>
      <c r="H118" s="89"/>
      <c r="I118" s="89"/>
      <c r="J118" s="89"/>
      <c r="K118" s="89"/>
      <c r="L118" s="96"/>
      <c r="M118" s="96"/>
      <c r="N118" s="96"/>
      <c r="O118" s="96"/>
      <c r="P118" s="96"/>
      <c r="Q118" s="96"/>
      <c r="R118" s="96"/>
      <c r="S118" s="96"/>
      <c r="T118" s="96"/>
      <c r="U118" s="96"/>
      <c r="V118" s="96"/>
      <c r="W118" s="96"/>
      <c r="X118" s="96"/>
      <c r="Y118" s="96"/>
      <c r="Z118" s="96"/>
      <c r="AA118" s="96"/>
      <c r="AB118" s="96"/>
      <c r="AC118" s="96"/>
      <c r="AD118" s="96"/>
      <c r="AE118" s="96"/>
    </row>
    <row r="119">
      <c r="A119" s="97">
        <f t="shared" si="3"/>
        <v>115</v>
      </c>
      <c r="B119" s="89"/>
      <c r="C119" s="89"/>
      <c r="D119" s="89"/>
      <c r="E119" s="89"/>
      <c r="F119" s="89"/>
      <c r="G119" s="89"/>
      <c r="H119" s="89"/>
      <c r="I119" s="89"/>
      <c r="J119" s="89"/>
      <c r="K119" s="89"/>
      <c r="L119" s="96"/>
      <c r="M119" s="96"/>
      <c r="N119" s="96"/>
      <c r="O119" s="96"/>
      <c r="P119" s="96"/>
      <c r="Q119" s="96"/>
      <c r="R119" s="96"/>
      <c r="S119" s="96"/>
      <c r="T119" s="96"/>
      <c r="U119" s="96"/>
      <c r="V119" s="96"/>
      <c r="W119" s="96"/>
      <c r="X119" s="96"/>
      <c r="Y119" s="96"/>
      <c r="Z119" s="96"/>
      <c r="AA119" s="96"/>
      <c r="AB119" s="96"/>
      <c r="AC119" s="96"/>
      <c r="AD119" s="96"/>
      <c r="AE119" s="96"/>
    </row>
    <row r="120">
      <c r="A120" s="97">
        <f t="shared" si="3"/>
        <v>116</v>
      </c>
      <c r="B120" s="89"/>
      <c r="C120" s="89"/>
      <c r="D120" s="89"/>
      <c r="E120" s="89"/>
      <c r="F120" s="89"/>
      <c r="G120" s="89"/>
      <c r="H120" s="89"/>
      <c r="I120" s="89"/>
      <c r="J120" s="89"/>
      <c r="K120" s="89"/>
      <c r="L120" s="96"/>
      <c r="M120" s="96"/>
      <c r="N120" s="96"/>
      <c r="O120" s="96"/>
      <c r="P120" s="96"/>
      <c r="Q120" s="96"/>
      <c r="R120" s="96"/>
      <c r="S120" s="96"/>
      <c r="T120" s="96"/>
      <c r="U120" s="96"/>
      <c r="V120" s="96"/>
      <c r="W120" s="96"/>
      <c r="X120" s="96"/>
      <c r="Y120" s="96"/>
      <c r="Z120" s="96"/>
      <c r="AA120" s="96"/>
      <c r="AB120" s="96"/>
      <c r="AC120" s="96"/>
      <c r="AD120" s="96"/>
      <c r="AE120" s="96"/>
    </row>
    <row r="121">
      <c r="A121" s="97">
        <f t="shared" si="3"/>
        <v>117</v>
      </c>
      <c r="B121" s="89"/>
      <c r="C121" s="89"/>
      <c r="D121" s="89"/>
      <c r="E121" s="89"/>
      <c r="F121" s="89"/>
      <c r="G121" s="89"/>
      <c r="H121" s="89"/>
      <c r="I121" s="89"/>
      <c r="J121" s="89"/>
      <c r="K121" s="89"/>
      <c r="L121" s="96"/>
      <c r="M121" s="96"/>
      <c r="N121" s="96"/>
      <c r="O121" s="96"/>
      <c r="P121" s="96"/>
      <c r="Q121" s="96"/>
      <c r="R121" s="96"/>
      <c r="S121" s="96"/>
      <c r="T121" s="96"/>
      <c r="U121" s="96"/>
      <c r="V121" s="96"/>
      <c r="W121" s="96"/>
      <c r="X121" s="96"/>
      <c r="Y121" s="96"/>
      <c r="Z121" s="96"/>
      <c r="AA121" s="96"/>
      <c r="AB121" s="96"/>
      <c r="AC121" s="96"/>
      <c r="AD121" s="96"/>
      <c r="AE121" s="96"/>
    </row>
    <row r="122">
      <c r="A122" s="97">
        <f t="shared" si="3"/>
        <v>118</v>
      </c>
      <c r="B122" s="89"/>
      <c r="C122" s="89"/>
      <c r="D122" s="89"/>
      <c r="E122" s="89"/>
      <c r="F122" s="89"/>
      <c r="G122" s="89"/>
      <c r="H122" s="89"/>
      <c r="I122" s="89"/>
      <c r="J122" s="89"/>
      <c r="K122" s="89"/>
      <c r="L122" s="96"/>
      <c r="M122" s="96"/>
      <c r="N122" s="96"/>
      <c r="O122" s="96"/>
      <c r="P122" s="96"/>
      <c r="Q122" s="96"/>
      <c r="R122" s="96"/>
      <c r="S122" s="96"/>
      <c r="T122" s="96"/>
      <c r="U122" s="96"/>
      <c r="V122" s="96"/>
      <c r="W122" s="96"/>
      <c r="X122" s="96"/>
      <c r="Y122" s="96"/>
      <c r="Z122" s="96"/>
      <c r="AA122" s="96"/>
      <c r="AB122" s="96"/>
      <c r="AC122" s="96"/>
      <c r="AD122" s="96"/>
      <c r="AE122" s="96"/>
    </row>
    <row r="123">
      <c r="A123" s="97">
        <f t="shared" si="3"/>
        <v>119</v>
      </c>
      <c r="B123" s="89"/>
      <c r="C123" s="89"/>
      <c r="D123" s="89"/>
      <c r="E123" s="89"/>
      <c r="F123" s="89"/>
      <c r="G123" s="89"/>
      <c r="H123" s="89"/>
      <c r="I123" s="89"/>
      <c r="J123" s="89"/>
      <c r="K123" s="89"/>
      <c r="L123" s="96"/>
      <c r="M123" s="96"/>
      <c r="N123" s="96"/>
      <c r="O123" s="96"/>
      <c r="P123" s="96"/>
      <c r="Q123" s="96"/>
      <c r="R123" s="96"/>
      <c r="S123" s="96"/>
      <c r="T123" s="96"/>
      <c r="U123" s="96"/>
      <c r="V123" s="96"/>
      <c r="W123" s="96"/>
      <c r="X123" s="96"/>
      <c r="Y123" s="96"/>
      <c r="Z123" s="96"/>
      <c r="AA123" s="96"/>
      <c r="AB123" s="96"/>
      <c r="AC123" s="96"/>
      <c r="AD123" s="96"/>
      <c r="AE123" s="96"/>
    </row>
    <row r="124">
      <c r="A124" s="97">
        <f t="shared" si="3"/>
        <v>120</v>
      </c>
      <c r="B124" s="89"/>
      <c r="C124" s="89"/>
      <c r="D124" s="89"/>
      <c r="E124" s="89"/>
      <c r="F124" s="89"/>
      <c r="G124" s="89"/>
      <c r="H124" s="89"/>
      <c r="I124" s="89"/>
      <c r="J124" s="89"/>
      <c r="K124" s="89"/>
      <c r="L124" s="96"/>
      <c r="M124" s="96"/>
      <c r="N124" s="96"/>
      <c r="O124" s="96"/>
      <c r="P124" s="96"/>
      <c r="Q124" s="96"/>
      <c r="R124" s="96"/>
      <c r="S124" s="96"/>
      <c r="T124" s="96"/>
      <c r="U124" s="96"/>
      <c r="V124" s="96"/>
      <c r="W124" s="96"/>
      <c r="X124" s="96"/>
      <c r="Y124" s="96"/>
      <c r="Z124" s="96"/>
      <c r="AA124" s="96"/>
      <c r="AB124" s="96"/>
      <c r="AC124" s="96"/>
      <c r="AD124" s="96"/>
      <c r="AE124" s="96"/>
    </row>
    <row r="125">
      <c r="A125" s="97">
        <f t="shared" si="3"/>
        <v>121</v>
      </c>
      <c r="B125" s="89"/>
      <c r="C125" s="89"/>
      <c r="D125" s="89"/>
      <c r="E125" s="89"/>
      <c r="F125" s="89"/>
      <c r="G125" s="89"/>
      <c r="H125" s="89"/>
      <c r="I125" s="89"/>
      <c r="J125" s="89"/>
      <c r="K125" s="89"/>
      <c r="L125" s="96"/>
      <c r="M125" s="96"/>
      <c r="N125" s="96"/>
      <c r="O125" s="96"/>
      <c r="P125" s="96"/>
      <c r="Q125" s="96"/>
      <c r="R125" s="96"/>
      <c r="S125" s="96"/>
      <c r="T125" s="96"/>
      <c r="U125" s="96"/>
      <c r="V125" s="96"/>
      <c r="W125" s="96"/>
      <c r="X125" s="96"/>
      <c r="Y125" s="96"/>
      <c r="Z125" s="96"/>
      <c r="AA125" s="96"/>
      <c r="AB125" s="96"/>
      <c r="AC125" s="96"/>
      <c r="AD125" s="96"/>
      <c r="AE125" s="96"/>
    </row>
    <row r="126">
      <c r="A126" s="97">
        <f t="shared" si="3"/>
        <v>122</v>
      </c>
      <c r="B126" s="89"/>
      <c r="C126" s="89"/>
      <c r="D126" s="89"/>
      <c r="E126" s="89"/>
      <c r="F126" s="89"/>
      <c r="G126" s="89"/>
      <c r="H126" s="89"/>
      <c r="I126" s="89"/>
      <c r="J126" s="89"/>
      <c r="K126" s="89"/>
      <c r="L126" s="96"/>
      <c r="M126" s="96"/>
      <c r="N126" s="96"/>
      <c r="O126" s="96"/>
      <c r="P126" s="96"/>
      <c r="Q126" s="96"/>
      <c r="R126" s="96"/>
      <c r="S126" s="96"/>
      <c r="T126" s="96"/>
      <c r="U126" s="96"/>
      <c r="V126" s="96"/>
      <c r="W126" s="96"/>
      <c r="X126" s="96"/>
      <c r="Y126" s="96"/>
      <c r="Z126" s="96"/>
      <c r="AA126" s="96"/>
      <c r="AB126" s="96"/>
      <c r="AC126" s="96"/>
      <c r="AD126" s="96"/>
      <c r="AE126" s="96"/>
    </row>
    <row r="127">
      <c r="A127" s="97">
        <f t="shared" si="3"/>
        <v>123</v>
      </c>
      <c r="B127" s="89"/>
      <c r="C127" s="89"/>
      <c r="D127" s="89"/>
      <c r="E127" s="89"/>
      <c r="F127" s="89"/>
      <c r="G127" s="89"/>
      <c r="H127" s="89"/>
      <c r="I127" s="89"/>
      <c r="J127" s="89"/>
      <c r="K127" s="89"/>
      <c r="L127" s="96"/>
      <c r="M127" s="96"/>
      <c r="N127" s="96"/>
      <c r="O127" s="96"/>
      <c r="P127" s="96"/>
      <c r="Q127" s="96"/>
      <c r="R127" s="96"/>
      <c r="S127" s="96"/>
      <c r="T127" s="96"/>
      <c r="U127" s="96"/>
      <c r="V127" s="96"/>
      <c r="W127" s="96"/>
      <c r="X127" s="96"/>
      <c r="Y127" s="96"/>
      <c r="Z127" s="96"/>
      <c r="AA127" s="96"/>
      <c r="AB127" s="96"/>
      <c r="AC127" s="96"/>
      <c r="AD127" s="96"/>
      <c r="AE127" s="96"/>
    </row>
    <row r="128">
      <c r="A128" s="97">
        <f t="shared" si="3"/>
        <v>124</v>
      </c>
      <c r="B128" s="89"/>
      <c r="C128" s="89"/>
      <c r="D128" s="89"/>
      <c r="E128" s="89"/>
      <c r="F128" s="89"/>
      <c r="G128" s="89"/>
      <c r="H128" s="89"/>
      <c r="I128" s="89"/>
      <c r="J128" s="89"/>
      <c r="K128" s="89"/>
      <c r="L128" s="96"/>
      <c r="M128" s="96"/>
      <c r="N128" s="96"/>
      <c r="O128" s="96"/>
      <c r="P128" s="96"/>
      <c r="Q128" s="96"/>
      <c r="R128" s="96"/>
      <c r="S128" s="96"/>
      <c r="T128" s="96"/>
      <c r="U128" s="96"/>
      <c r="V128" s="96"/>
      <c r="W128" s="96"/>
      <c r="X128" s="96"/>
      <c r="Y128" s="96"/>
      <c r="Z128" s="96"/>
      <c r="AA128" s="96"/>
      <c r="AB128" s="96"/>
      <c r="AC128" s="96"/>
      <c r="AD128" s="96"/>
      <c r="AE128" s="96"/>
    </row>
    <row r="129">
      <c r="A129" s="97">
        <f t="shared" si="3"/>
        <v>125</v>
      </c>
      <c r="B129" s="89"/>
      <c r="C129" s="89"/>
      <c r="D129" s="89"/>
      <c r="E129" s="89"/>
      <c r="F129" s="89"/>
      <c r="G129" s="89"/>
      <c r="H129" s="89"/>
      <c r="I129" s="89"/>
      <c r="J129" s="89"/>
      <c r="K129" s="89"/>
      <c r="L129" s="96"/>
      <c r="M129" s="96"/>
      <c r="N129" s="96"/>
      <c r="O129" s="96"/>
      <c r="P129" s="96"/>
      <c r="Q129" s="96"/>
      <c r="R129" s="96"/>
      <c r="S129" s="96"/>
      <c r="T129" s="96"/>
      <c r="U129" s="96"/>
      <c r="V129" s="96"/>
      <c r="W129" s="96"/>
      <c r="X129" s="96"/>
      <c r="Y129" s="96"/>
      <c r="Z129" s="96"/>
      <c r="AA129" s="96"/>
      <c r="AB129" s="96"/>
      <c r="AC129" s="96"/>
      <c r="AD129" s="96"/>
      <c r="AE129" s="96"/>
    </row>
    <row r="130">
      <c r="A130" s="97">
        <f t="shared" si="3"/>
        <v>126</v>
      </c>
      <c r="B130" s="89"/>
      <c r="C130" s="89"/>
      <c r="D130" s="89"/>
      <c r="E130" s="89"/>
      <c r="F130" s="89"/>
      <c r="G130" s="89"/>
      <c r="H130" s="89"/>
      <c r="I130" s="89"/>
      <c r="J130" s="89"/>
      <c r="K130" s="89"/>
      <c r="L130" s="96"/>
      <c r="M130" s="96"/>
      <c r="N130" s="96"/>
      <c r="O130" s="96"/>
      <c r="P130" s="96"/>
      <c r="Q130" s="96"/>
      <c r="R130" s="96"/>
      <c r="S130" s="96"/>
      <c r="T130" s="96"/>
      <c r="U130" s="96"/>
      <c r="V130" s="96"/>
      <c r="W130" s="96"/>
      <c r="X130" s="96"/>
      <c r="Y130" s="96"/>
      <c r="Z130" s="96"/>
      <c r="AA130" s="96"/>
      <c r="AB130" s="96"/>
      <c r="AC130" s="96"/>
      <c r="AD130" s="96"/>
      <c r="AE130" s="96"/>
    </row>
    <row r="131">
      <c r="A131" s="97">
        <f t="shared" si="3"/>
        <v>127</v>
      </c>
      <c r="B131" s="89"/>
      <c r="C131" s="89"/>
      <c r="D131" s="89"/>
      <c r="E131" s="89"/>
      <c r="F131" s="89"/>
      <c r="G131" s="89"/>
      <c r="H131" s="89"/>
      <c r="I131" s="89"/>
      <c r="J131" s="89"/>
      <c r="K131" s="89"/>
      <c r="L131" s="96"/>
      <c r="M131" s="96"/>
      <c r="N131" s="96"/>
      <c r="O131" s="96"/>
      <c r="P131" s="96"/>
      <c r="Q131" s="96"/>
      <c r="R131" s="96"/>
      <c r="S131" s="96"/>
      <c r="T131" s="96"/>
      <c r="U131" s="96"/>
      <c r="V131" s="96"/>
      <c r="W131" s="96"/>
      <c r="X131" s="96"/>
      <c r="Y131" s="96"/>
      <c r="Z131" s="96"/>
      <c r="AA131" s="96"/>
      <c r="AB131" s="96"/>
      <c r="AC131" s="96"/>
      <c r="AD131" s="96"/>
      <c r="AE131" s="96"/>
    </row>
    <row r="132">
      <c r="A132" s="97">
        <f t="shared" si="3"/>
        <v>128</v>
      </c>
      <c r="B132" s="89"/>
      <c r="C132" s="89"/>
      <c r="D132" s="89"/>
      <c r="E132" s="89"/>
      <c r="F132" s="89"/>
      <c r="G132" s="89"/>
      <c r="H132" s="89"/>
      <c r="I132" s="89"/>
      <c r="J132" s="89"/>
      <c r="K132" s="89"/>
      <c r="L132" s="96"/>
      <c r="M132" s="96"/>
      <c r="N132" s="96"/>
      <c r="O132" s="96"/>
      <c r="P132" s="96"/>
      <c r="Q132" s="96"/>
      <c r="R132" s="96"/>
      <c r="S132" s="96"/>
      <c r="T132" s="96"/>
      <c r="U132" s="96"/>
      <c r="V132" s="96"/>
      <c r="W132" s="96"/>
      <c r="X132" s="96"/>
      <c r="Y132" s="96"/>
      <c r="Z132" s="96"/>
      <c r="AA132" s="96"/>
      <c r="AB132" s="96"/>
      <c r="AC132" s="96"/>
      <c r="AD132" s="96"/>
      <c r="AE132" s="96"/>
    </row>
    <row r="133">
      <c r="A133" s="97">
        <f t="shared" si="3"/>
        <v>129</v>
      </c>
      <c r="B133" s="89"/>
      <c r="C133" s="89"/>
      <c r="D133" s="89"/>
      <c r="E133" s="89"/>
      <c r="F133" s="89"/>
      <c r="G133" s="89"/>
      <c r="H133" s="89"/>
      <c r="I133" s="89"/>
      <c r="J133" s="89"/>
      <c r="K133" s="89"/>
      <c r="L133" s="96"/>
      <c r="M133" s="96"/>
      <c r="N133" s="96"/>
      <c r="O133" s="96"/>
      <c r="P133" s="96"/>
      <c r="Q133" s="96"/>
      <c r="R133" s="96"/>
      <c r="S133" s="96"/>
      <c r="T133" s="96"/>
      <c r="U133" s="96"/>
      <c r="V133" s="96"/>
      <c r="W133" s="96"/>
      <c r="X133" s="96"/>
      <c r="Y133" s="96"/>
      <c r="Z133" s="96"/>
      <c r="AA133" s="96"/>
      <c r="AB133" s="96"/>
      <c r="AC133" s="96"/>
      <c r="AD133" s="96"/>
      <c r="AE133" s="96"/>
    </row>
    <row r="134">
      <c r="A134" s="97">
        <f t="shared" si="3"/>
        <v>130</v>
      </c>
      <c r="B134" s="89"/>
      <c r="C134" s="89"/>
      <c r="D134" s="89"/>
      <c r="E134" s="89"/>
      <c r="F134" s="89"/>
      <c r="G134" s="89"/>
      <c r="H134" s="89"/>
      <c r="I134" s="89"/>
      <c r="J134" s="89"/>
      <c r="K134" s="89"/>
      <c r="L134" s="96"/>
      <c r="M134" s="96"/>
      <c r="N134" s="96"/>
      <c r="O134" s="96"/>
      <c r="P134" s="96"/>
      <c r="Q134" s="96"/>
      <c r="R134" s="96"/>
      <c r="S134" s="96"/>
      <c r="T134" s="96"/>
      <c r="U134" s="96"/>
      <c r="V134" s="96"/>
      <c r="W134" s="96"/>
      <c r="X134" s="96"/>
      <c r="Y134" s="96"/>
      <c r="Z134" s="96"/>
      <c r="AA134" s="96"/>
      <c r="AB134" s="96"/>
      <c r="AC134" s="96"/>
      <c r="AD134" s="96"/>
      <c r="AE134" s="96"/>
    </row>
    <row r="135">
      <c r="A135" s="97">
        <f t="shared" si="3"/>
        <v>131</v>
      </c>
      <c r="B135" s="89"/>
      <c r="C135" s="89"/>
      <c r="D135" s="89"/>
      <c r="E135" s="89"/>
      <c r="F135" s="89"/>
      <c r="G135" s="89"/>
      <c r="H135" s="89"/>
      <c r="I135" s="89"/>
      <c r="J135" s="89"/>
      <c r="K135" s="89"/>
      <c r="L135" s="96"/>
      <c r="M135" s="96"/>
      <c r="N135" s="96"/>
      <c r="O135" s="96"/>
      <c r="P135" s="96"/>
      <c r="Q135" s="96"/>
      <c r="R135" s="96"/>
      <c r="S135" s="96"/>
      <c r="T135" s="96"/>
      <c r="U135" s="96"/>
      <c r="V135" s="96"/>
      <c r="W135" s="96"/>
      <c r="X135" s="96"/>
      <c r="Y135" s="96"/>
      <c r="Z135" s="96"/>
      <c r="AA135" s="96"/>
      <c r="AB135" s="96"/>
      <c r="AC135" s="96"/>
      <c r="AD135" s="96"/>
      <c r="AE135" s="96"/>
    </row>
    <row r="136">
      <c r="A136" s="97">
        <f t="shared" si="3"/>
        <v>132</v>
      </c>
      <c r="B136" s="89"/>
      <c r="C136" s="89"/>
      <c r="D136" s="89"/>
      <c r="E136" s="89"/>
      <c r="F136" s="89"/>
      <c r="G136" s="89"/>
      <c r="H136" s="89"/>
      <c r="I136" s="89"/>
      <c r="J136" s="89"/>
      <c r="K136" s="89"/>
      <c r="L136" s="96"/>
      <c r="M136" s="96"/>
      <c r="N136" s="96"/>
      <c r="O136" s="96"/>
      <c r="P136" s="96"/>
      <c r="Q136" s="96"/>
      <c r="R136" s="96"/>
      <c r="S136" s="96"/>
      <c r="T136" s="96"/>
      <c r="U136" s="96"/>
      <c r="V136" s="96"/>
      <c r="W136" s="96"/>
      <c r="X136" s="96"/>
      <c r="Y136" s="96"/>
      <c r="Z136" s="96"/>
      <c r="AA136" s="96"/>
      <c r="AB136" s="96"/>
      <c r="AC136" s="96"/>
      <c r="AD136" s="96"/>
      <c r="AE136" s="96"/>
    </row>
    <row r="137">
      <c r="A137" s="97">
        <f t="shared" si="3"/>
        <v>133</v>
      </c>
      <c r="B137" s="89"/>
      <c r="C137" s="89"/>
      <c r="D137" s="89"/>
      <c r="E137" s="89"/>
      <c r="F137" s="89"/>
      <c r="G137" s="89"/>
      <c r="H137" s="89"/>
      <c r="I137" s="89"/>
      <c r="J137" s="89"/>
      <c r="K137" s="89"/>
      <c r="L137" s="96"/>
      <c r="M137" s="96"/>
      <c r="N137" s="96"/>
      <c r="O137" s="96"/>
      <c r="P137" s="96"/>
      <c r="Q137" s="96"/>
      <c r="R137" s="96"/>
      <c r="S137" s="96"/>
      <c r="T137" s="96"/>
      <c r="U137" s="96"/>
      <c r="V137" s="96"/>
      <c r="W137" s="96"/>
      <c r="X137" s="96"/>
      <c r="Y137" s="96"/>
      <c r="Z137" s="96"/>
      <c r="AA137" s="96"/>
      <c r="AB137" s="96"/>
      <c r="AC137" s="96"/>
      <c r="AD137" s="96"/>
      <c r="AE137" s="96"/>
    </row>
    <row r="138">
      <c r="A138" s="97">
        <f t="shared" si="3"/>
        <v>134</v>
      </c>
      <c r="B138" s="89"/>
      <c r="C138" s="89"/>
      <c r="D138" s="89"/>
      <c r="E138" s="89"/>
      <c r="F138" s="89"/>
      <c r="G138" s="89"/>
      <c r="H138" s="89"/>
      <c r="I138" s="89"/>
      <c r="J138" s="89"/>
      <c r="K138" s="89"/>
      <c r="L138" s="96"/>
      <c r="M138" s="96"/>
      <c r="N138" s="96"/>
      <c r="O138" s="96"/>
      <c r="P138" s="96"/>
      <c r="Q138" s="96"/>
      <c r="R138" s="96"/>
      <c r="S138" s="96"/>
      <c r="T138" s="96"/>
      <c r="U138" s="96"/>
      <c r="V138" s="96"/>
      <c r="W138" s="96"/>
      <c r="X138" s="96"/>
      <c r="Y138" s="96"/>
      <c r="Z138" s="96"/>
      <c r="AA138" s="96"/>
      <c r="AB138" s="96"/>
      <c r="AC138" s="96"/>
      <c r="AD138" s="96"/>
      <c r="AE138" s="96"/>
    </row>
    <row r="139">
      <c r="A139" s="97">
        <f t="shared" si="3"/>
        <v>135</v>
      </c>
      <c r="B139" s="89"/>
      <c r="C139" s="89"/>
      <c r="D139" s="89"/>
      <c r="E139" s="89"/>
      <c r="F139" s="89"/>
      <c r="G139" s="89"/>
      <c r="H139" s="89"/>
      <c r="I139" s="89"/>
      <c r="J139" s="89"/>
      <c r="K139" s="89"/>
      <c r="L139" s="96"/>
      <c r="M139" s="96"/>
      <c r="N139" s="96"/>
      <c r="O139" s="96"/>
      <c r="P139" s="96"/>
      <c r="Q139" s="96"/>
      <c r="R139" s="96"/>
      <c r="S139" s="96"/>
      <c r="T139" s="96"/>
      <c r="U139" s="96"/>
      <c r="V139" s="96"/>
      <c r="W139" s="96"/>
      <c r="X139" s="96"/>
      <c r="Y139" s="96"/>
      <c r="Z139" s="96"/>
      <c r="AA139" s="96"/>
      <c r="AB139" s="96"/>
      <c r="AC139" s="96"/>
      <c r="AD139" s="96"/>
      <c r="AE139" s="96"/>
    </row>
    <row r="140">
      <c r="A140" s="97">
        <f t="shared" si="3"/>
        <v>136</v>
      </c>
      <c r="B140" s="89"/>
      <c r="C140" s="89"/>
      <c r="D140" s="89"/>
      <c r="E140" s="89"/>
      <c r="F140" s="89"/>
      <c r="G140" s="89"/>
      <c r="H140" s="89"/>
      <c r="I140" s="89"/>
      <c r="J140" s="89"/>
      <c r="K140" s="89"/>
      <c r="L140" s="96"/>
      <c r="M140" s="96"/>
      <c r="N140" s="96"/>
      <c r="O140" s="96"/>
      <c r="P140" s="96"/>
      <c r="Q140" s="96"/>
      <c r="R140" s="96"/>
      <c r="S140" s="96"/>
      <c r="T140" s="96"/>
      <c r="U140" s="96"/>
      <c r="V140" s="96"/>
      <c r="W140" s="96"/>
      <c r="X140" s="96"/>
      <c r="Y140" s="96"/>
      <c r="Z140" s="96"/>
      <c r="AA140" s="96"/>
      <c r="AB140" s="96"/>
      <c r="AC140" s="96"/>
      <c r="AD140" s="96"/>
      <c r="AE140" s="96"/>
    </row>
    <row r="141">
      <c r="A141" s="97">
        <f t="shared" si="3"/>
        <v>137</v>
      </c>
      <c r="B141" s="89"/>
      <c r="C141" s="89"/>
      <c r="D141" s="89"/>
      <c r="E141" s="89"/>
      <c r="F141" s="89"/>
      <c r="G141" s="89"/>
      <c r="H141" s="89"/>
      <c r="I141" s="89"/>
      <c r="J141" s="89"/>
      <c r="K141" s="89"/>
      <c r="L141" s="96"/>
      <c r="M141" s="96"/>
      <c r="N141" s="96"/>
      <c r="O141" s="96"/>
      <c r="P141" s="96"/>
      <c r="Q141" s="96"/>
      <c r="R141" s="96"/>
      <c r="S141" s="96"/>
      <c r="T141" s="96"/>
      <c r="U141" s="96"/>
      <c r="V141" s="96"/>
      <c r="W141" s="96"/>
      <c r="X141" s="96"/>
      <c r="Y141" s="96"/>
      <c r="Z141" s="96"/>
      <c r="AA141" s="96"/>
      <c r="AB141" s="96"/>
      <c r="AC141" s="96"/>
      <c r="AD141" s="96"/>
      <c r="AE141" s="96"/>
    </row>
    <row r="142">
      <c r="A142" s="97">
        <f t="shared" si="3"/>
        <v>138</v>
      </c>
      <c r="B142" s="89"/>
      <c r="C142" s="89"/>
      <c r="D142" s="89"/>
      <c r="E142" s="89"/>
      <c r="F142" s="89"/>
      <c r="G142" s="89"/>
      <c r="H142" s="89"/>
      <c r="I142" s="89"/>
      <c r="J142" s="89"/>
      <c r="K142" s="89"/>
      <c r="L142" s="96"/>
      <c r="M142" s="96"/>
      <c r="N142" s="96"/>
      <c r="O142" s="96"/>
      <c r="P142" s="96"/>
      <c r="Q142" s="96"/>
      <c r="R142" s="96"/>
      <c r="S142" s="96"/>
      <c r="T142" s="96"/>
      <c r="U142" s="96"/>
      <c r="V142" s="96"/>
      <c r="W142" s="96"/>
      <c r="X142" s="96"/>
      <c r="Y142" s="96"/>
      <c r="Z142" s="96"/>
      <c r="AA142" s="96"/>
      <c r="AB142" s="96"/>
      <c r="AC142" s="96"/>
      <c r="AD142" s="96"/>
      <c r="AE142" s="96"/>
    </row>
    <row r="143">
      <c r="A143" s="97">
        <f t="shared" si="3"/>
        <v>139</v>
      </c>
      <c r="B143" s="89"/>
      <c r="C143" s="89"/>
      <c r="D143" s="89"/>
      <c r="E143" s="89"/>
      <c r="F143" s="89"/>
      <c r="G143" s="89"/>
      <c r="H143" s="89"/>
      <c r="I143" s="89"/>
      <c r="J143" s="89"/>
      <c r="K143" s="89"/>
      <c r="L143" s="96"/>
      <c r="M143" s="96"/>
      <c r="N143" s="96"/>
      <c r="O143" s="96"/>
      <c r="P143" s="96"/>
      <c r="Q143" s="96"/>
      <c r="R143" s="96"/>
      <c r="S143" s="96"/>
      <c r="T143" s="96"/>
      <c r="U143" s="96"/>
      <c r="V143" s="96"/>
      <c r="W143" s="96"/>
      <c r="X143" s="96"/>
      <c r="Y143" s="96"/>
      <c r="Z143" s="96"/>
      <c r="AA143" s="96"/>
      <c r="AB143" s="96"/>
      <c r="AC143" s="96"/>
      <c r="AD143" s="96"/>
      <c r="AE143" s="96"/>
    </row>
    <row r="144">
      <c r="A144" s="97">
        <f t="shared" si="3"/>
        <v>140</v>
      </c>
      <c r="B144" s="89"/>
      <c r="C144" s="89"/>
      <c r="D144" s="89"/>
      <c r="E144" s="89"/>
      <c r="F144" s="89"/>
      <c r="G144" s="89"/>
      <c r="H144" s="89"/>
      <c r="I144" s="89"/>
      <c r="J144" s="89"/>
      <c r="K144" s="89"/>
      <c r="L144" s="96"/>
      <c r="M144" s="96"/>
      <c r="N144" s="96"/>
      <c r="O144" s="96"/>
      <c r="P144" s="96"/>
      <c r="Q144" s="96"/>
      <c r="R144" s="96"/>
      <c r="S144" s="96"/>
      <c r="T144" s="96"/>
      <c r="U144" s="96"/>
      <c r="V144" s="96"/>
      <c r="W144" s="96"/>
      <c r="X144" s="96"/>
      <c r="Y144" s="96"/>
      <c r="Z144" s="96"/>
      <c r="AA144" s="96"/>
      <c r="AB144" s="96"/>
      <c r="AC144" s="96"/>
      <c r="AD144" s="96"/>
      <c r="AE144" s="96"/>
    </row>
    <row r="145">
      <c r="A145" s="97">
        <f t="shared" si="3"/>
        <v>141</v>
      </c>
      <c r="B145" s="89"/>
      <c r="C145" s="89"/>
      <c r="D145" s="89"/>
      <c r="E145" s="89"/>
      <c r="F145" s="89"/>
      <c r="G145" s="89"/>
      <c r="H145" s="89"/>
      <c r="I145" s="89"/>
      <c r="J145" s="89"/>
      <c r="K145" s="89"/>
      <c r="L145" s="96"/>
      <c r="M145" s="96"/>
      <c r="N145" s="96"/>
      <c r="O145" s="96"/>
      <c r="P145" s="96"/>
      <c r="Q145" s="96"/>
      <c r="R145" s="96"/>
      <c r="S145" s="96"/>
      <c r="T145" s="96"/>
      <c r="U145" s="96"/>
      <c r="V145" s="96"/>
      <c r="W145" s="96"/>
      <c r="X145" s="96"/>
      <c r="Y145" s="96"/>
      <c r="Z145" s="96"/>
      <c r="AA145" s="96"/>
      <c r="AB145" s="96"/>
      <c r="AC145" s="96"/>
      <c r="AD145" s="96"/>
      <c r="AE145" s="96"/>
    </row>
    <row r="146">
      <c r="A146" s="97">
        <f t="shared" si="3"/>
        <v>142</v>
      </c>
      <c r="B146" s="89"/>
      <c r="C146" s="89"/>
      <c r="D146" s="89"/>
      <c r="E146" s="89"/>
      <c r="F146" s="89"/>
      <c r="G146" s="89"/>
      <c r="H146" s="89"/>
      <c r="I146" s="89"/>
      <c r="J146" s="89"/>
      <c r="K146" s="89"/>
      <c r="L146" s="96"/>
      <c r="M146" s="96"/>
      <c r="N146" s="96"/>
      <c r="O146" s="96"/>
      <c r="P146" s="96"/>
      <c r="Q146" s="96"/>
      <c r="R146" s="96"/>
      <c r="S146" s="96"/>
      <c r="T146" s="96"/>
      <c r="U146" s="96"/>
      <c r="V146" s="96"/>
      <c r="W146" s="96"/>
      <c r="X146" s="96"/>
      <c r="Y146" s="96"/>
      <c r="Z146" s="96"/>
      <c r="AA146" s="96"/>
      <c r="AB146" s="96"/>
      <c r="AC146" s="96"/>
      <c r="AD146" s="96"/>
      <c r="AE146" s="96"/>
    </row>
    <row r="147">
      <c r="A147" s="97">
        <f t="shared" si="3"/>
        <v>143</v>
      </c>
      <c r="B147" s="89"/>
      <c r="C147" s="89"/>
      <c r="D147" s="89"/>
      <c r="E147" s="89"/>
      <c r="F147" s="89"/>
      <c r="G147" s="89"/>
      <c r="H147" s="89"/>
      <c r="I147" s="89"/>
      <c r="J147" s="89"/>
      <c r="K147" s="89"/>
      <c r="L147" s="96"/>
      <c r="M147" s="96"/>
      <c r="N147" s="96"/>
      <c r="O147" s="96"/>
      <c r="P147" s="96"/>
      <c r="Q147" s="96"/>
      <c r="R147" s="96"/>
      <c r="S147" s="96"/>
      <c r="T147" s="96"/>
      <c r="U147" s="96"/>
      <c r="V147" s="96"/>
      <c r="W147" s="96"/>
      <c r="X147" s="96"/>
      <c r="Y147" s="96"/>
      <c r="Z147" s="96"/>
      <c r="AA147" s="96"/>
      <c r="AB147" s="96"/>
      <c r="AC147" s="96"/>
      <c r="AD147" s="96"/>
      <c r="AE147" s="96"/>
    </row>
    <row r="148">
      <c r="A148" s="97">
        <f t="shared" si="3"/>
        <v>144</v>
      </c>
      <c r="B148" s="89"/>
      <c r="C148" s="89"/>
      <c r="D148" s="89"/>
      <c r="E148" s="89"/>
      <c r="F148" s="89"/>
      <c r="G148" s="89"/>
      <c r="H148" s="89"/>
      <c r="I148" s="89"/>
      <c r="J148" s="89"/>
      <c r="K148" s="89"/>
      <c r="L148" s="96"/>
      <c r="M148" s="96"/>
      <c r="N148" s="96"/>
      <c r="O148" s="96"/>
      <c r="P148" s="96"/>
      <c r="Q148" s="96"/>
      <c r="R148" s="96"/>
      <c r="S148" s="96"/>
      <c r="T148" s="96"/>
      <c r="U148" s="96"/>
      <c r="V148" s="96"/>
      <c r="W148" s="96"/>
      <c r="X148" s="96"/>
      <c r="Y148" s="96"/>
      <c r="Z148" s="96"/>
      <c r="AA148" s="96"/>
      <c r="AB148" s="96"/>
      <c r="AC148" s="96"/>
      <c r="AD148" s="96"/>
      <c r="AE148" s="96"/>
    </row>
    <row r="149">
      <c r="A149" s="97">
        <f t="shared" si="3"/>
        <v>145</v>
      </c>
      <c r="B149" s="89"/>
      <c r="C149" s="89"/>
      <c r="D149" s="89"/>
      <c r="E149" s="89"/>
      <c r="F149" s="89"/>
      <c r="G149" s="89"/>
      <c r="H149" s="89"/>
      <c r="I149" s="89"/>
      <c r="J149" s="89"/>
      <c r="K149" s="89"/>
      <c r="L149" s="96"/>
      <c r="M149" s="96"/>
      <c r="N149" s="96"/>
      <c r="O149" s="96"/>
      <c r="P149" s="96"/>
      <c r="Q149" s="96"/>
      <c r="R149" s="96"/>
      <c r="S149" s="96"/>
      <c r="T149" s="96"/>
      <c r="U149" s="96"/>
      <c r="V149" s="96"/>
      <c r="W149" s="96"/>
      <c r="X149" s="96"/>
      <c r="Y149" s="96"/>
      <c r="Z149" s="96"/>
      <c r="AA149" s="96"/>
      <c r="AB149" s="96"/>
      <c r="AC149" s="96"/>
      <c r="AD149" s="96"/>
      <c r="AE149" s="96"/>
    </row>
    <row r="150">
      <c r="A150" s="97">
        <f t="shared" si="3"/>
        <v>146</v>
      </c>
      <c r="B150" s="89"/>
      <c r="C150" s="89"/>
      <c r="D150" s="89"/>
      <c r="E150" s="89"/>
      <c r="F150" s="89"/>
      <c r="G150" s="89"/>
      <c r="H150" s="89"/>
      <c r="I150" s="89"/>
      <c r="J150" s="89"/>
      <c r="K150" s="89"/>
      <c r="L150" s="96"/>
      <c r="M150" s="96"/>
      <c r="N150" s="96"/>
      <c r="O150" s="96"/>
      <c r="P150" s="96"/>
      <c r="Q150" s="96"/>
      <c r="R150" s="96"/>
      <c r="S150" s="96"/>
      <c r="T150" s="96"/>
      <c r="U150" s="96"/>
      <c r="V150" s="96"/>
      <c r="W150" s="96"/>
      <c r="X150" s="96"/>
      <c r="Y150" s="96"/>
      <c r="Z150" s="96"/>
      <c r="AA150" s="96"/>
      <c r="AB150" s="96"/>
      <c r="AC150" s="96"/>
      <c r="AD150" s="96"/>
      <c r="AE150" s="96"/>
    </row>
    <row r="151">
      <c r="A151" s="97">
        <f t="shared" si="3"/>
        <v>147</v>
      </c>
      <c r="B151" s="89"/>
      <c r="C151" s="89"/>
      <c r="D151" s="89"/>
      <c r="E151" s="89"/>
      <c r="F151" s="89"/>
      <c r="G151" s="89"/>
      <c r="H151" s="89"/>
      <c r="I151" s="89"/>
      <c r="J151" s="89"/>
      <c r="K151" s="89"/>
      <c r="L151" s="96"/>
      <c r="M151" s="96"/>
      <c r="N151" s="96"/>
      <c r="O151" s="96"/>
      <c r="P151" s="96"/>
      <c r="Q151" s="96"/>
      <c r="R151" s="96"/>
      <c r="S151" s="96"/>
      <c r="T151" s="96"/>
      <c r="U151" s="96"/>
      <c r="V151" s="96"/>
      <c r="W151" s="96"/>
      <c r="X151" s="96"/>
      <c r="Y151" s="96"/>
      <c r="Z151" s="96"/>
      <c r="AA151" s="96"/>
      <c r="AB151" s="96"/>
      <c r="AC151" s="96"/>
      <c r="AD151" s="96"/>
      <c r="AE151" s="96"/>
    </row>
    <row r="152">
      <c r="A152" s="97">
        <f t="shared" si="3"/>
        <v>148</v>
      </c>
      <c r="B152" s="89"/>
      <c r="C152" s="89"/>
      <c r="D152" s="89"/>
      <c r="E152" s="89"/>
      <c r="F152" s="89"/>
      <c r="G152" s="89"/>
      <c r="H152" s="89"/>
      <c r="I152" s="89"/>
      <c r="J152" s="89"/>
      <c r="K152" s="89"/>
      <c r="L152" s="96"/>
      <c r="M152" s="96"/>
      <c r="N152" s="96"/>
      <c r="O152" s="96"/>
      <c r="P152" s="96"/>
      <c r="Q152" s="96"/>
      <c r="R152" s="96"/>
      <c r="S152" s="96"/>
      <c r="T152" s="96"/>
      <c r="U152" s="96"/>
      <c r="V152" s="96"/>
      <c r="W152" s="96"/>
      <c r="X152" s="96"/>
      <c r="Y152" s="96"/>
      <c r="Z152" s="96"/>
      <c r="AA152" s="96"/>
      <c r="AB152" s="96"/>
      <c r="AC152" s="96"/>
      <c r="AD152" s="96"/>
      <c r="AE152" s="96"/>
    </row>
    <row r="153">
      <c r="A153" s="97">
        <f t="shared" si="3"/>
        <v>149</v>
      </c>
      <c r="B153" s="89"/>
      <c r="C153" s="89"/>
      <c r="D153" s="89"/>
      <c r="E153" s="89"/>
      <c r="F153" s="89"/>
      <c r="G153" s="89"/>
      <c r="H153" s="89"/>
      <c r="I153" s="89"/>
      <c r="J153" s="89"/>
      <c r="K153" s="89"/>
      <c r="L153" s="96"/>
      <c r="M153" s="96"/>
      <c r="N153" s="96"/>
      <c r="O153" s="96"/>
      <c r="P153" s="96"/>
      <c r="Q153" s="96"/>
      <c r="R153" s="96"/>
      <c r="S153" s="96"/>
      <c r="T153" s="96"/>
      <c r="U153" s="96"/>
      <c r="V153" s="96"/>
      <c r="W153" s="96"/>
      <c r="X153" s="96"/>
      <c r="Y153" s="96"/>
      <c r="Z153" s="96"/>
      <c r="AA153" s="96"/>
      <c r="AB153" s="96"/>
      <c r="AC153" s="96"/>
      <c r="AD153" s="96"/>
      <c r="AE153" s="96"/>
    </row>
    <row r="154">
      <c r="A154" s="97">
        <f t="shared" si="3"/>
        <v>150</v>
      </c>
      <c r="B154" s="89"/>
      <c r="C154" s="89"/>
      <c r="D154" s="89"/>
      <c r="E154" s="89"/>
      <c r="F154" s="89"/>
      <c r="G154" s="89"/>
      <c r="H154" s="89"/>
      <c r="I154" s="89"/>
      <c r="J154" s="89"/>
      <c r="K154" s="89"/>
      <c r="L154" s="96"/>
      <c r="M154" s="96"/>
      <c r="N154" s="96"/>
      <c r="O154" s="96"/>
      <c r="P154" s="96"/>
      <c r="Q154" s="96"/>
      <c r="R154" s="96"/>
      <c r="S154" s="96"/>
      <c r="T154" s="96"/>
      <c r="U154" s="96"/>
      <c r="V154" s="96"/>
      <c r="W154" s="96"/>
      <c r="X154" s="96"/>
      <c r="Y154" s="96"/>
      <c r="Z154" s="96"/>
      <c r="AA154" s="96"/>
      <c r="AB154" s="96"/>
      <c r="AC154" s="96"/>
      <c r="AD154" s="96"/>
      <c r="AE154" s="96"/>
    </row>
    <row r="155">
      <c r="A155" s="97">
        <f t="shared" si="3"/>
        <v>151</v>
      </c>
      <c r="B155" s="89"/>
      <c r="C155" s="89"/>
      <c r="D155" s="89"/>
      <c r="E155" s="89"/>
      <c r="F155" s="89"/>
      <c r="G155" s="89"/>
      <c r="H155" s="89"/>
      <c r="I155" s="89"/>
      <c r="J155" s="89"/>
      <c r="K155" s="89"/>
      <c r="L155" s="96"/>
      <c r="M155" s="96"/>
      <c r="N155" s="96"/>
      <c r="O155" s="96"/>
      <c r="P155" s="96"/>
      <c r="Q155" s="96"/>
      <c r="R155" s="96"/>
      <c r="S155" s="96"/>
      <c r="T155" s="96"/>
      <c r="U155" s="96"/>
      <c r="V155" s="96"/>
      <c r="W155" s="96"/>
      <c r="X155" s="96"/>
      <c r="Y155" s="96"/>
      <c r="Z155" s="96"/>
      <c r="AA155" s="96"/>
      <c r="AB155" s="96"/>
      <c r="AC155" s="96"/>
      <c r="AD155" s="96"/>
      <c r="AE155" s="96"/>
    </row>
    <row r="156">
      <c r="A156" s="97">
        <f t="shared" si="3"/>
        <v>152</v>
      </c>
      <c r="B156" s="89"/>
      <c r="C156" s="89"/>
      <c r="D156" s="89"/>
      <c r="E156" s="89"/>
      <c r="F156" s="89"/>
      <c r="G156" s="89"/>
      <c r="H156" s="89"/>
      <c r="I156" s="89"/>
      <c r="J156" s="89"/>
      <c r="K156" s="89"/>
      <c r="L156" s="96"/>
      <c r="M156" s="96"/>
      <c r="N156" s="96"/>
      <c r="O156" s="96"/>
      <c r="P156" s="96"/>
      <c r="Q156" s="96"/>
      <c r="R156" s="96"/>
      <c r="S156" s="96"/>
      <c r="T156" s="96"/>
      <c r="U156" s="96"/>
      <c r="V156" s="96"/>
      <c r="W156" s="96"/>
      <c r="X156" s="96"/>
      <c r="Y156" s="96"/>
      <c r="Z156" s="96"/>
      <c r="AA156" s="96"/>
      <c r="AB156" s="96"/>
      <c r="AC156" s="96"/>
      <c r="AD156" s="96"/>
      <c r="AE156" s="96"/>
    </row>
    <row r="157">
      <c r="A157" s="97">
        <f t="shared" si="3"/>
        <v>153</v>
      </c>
      <c r="B157" s="89"/>
      <c r="C157" s="89"/>
      <c r="D157" s="89"/>
      <c r="E157" s="89"/>
      <c r="F157" s="89"/>
      <c r="G157" s="89"/>
      <c r="H157" s="89"/>
      <c r="I157" s="89"/>
      <c r="J157" s="89"/>
      <c r="K157" s="89"/>
      <c r="L157" s="96"/>
      <c r="M157" s="96"/>
      <c r="N157" s="96"/>
      <c r="O157" s="96"/>
      <c r="P157" s="96"/>
      <c r="Q157" s="96"/>
      <c r="R157" s="96"/>
      <c r="S157" s="96"/>
      <c r="T157" s="96"/>
      <c r="U157" s="96"/>
      <c r="V157" s="96"/>
      <c r="W157" s="96"/>
      <c r="X157" s="96"/>
      <c r="Y157" s="96"/>
      <c r="Z157" s="96"/>
      <c r="AA157" s="96"/>
      <c r="AB157" s="96"/>
      <c r="AC157" s="96"/>
      <c r="AD157" s="96"/>
      <c r="AE157" s="96"/>
    </row>
    <row r="158">
      <c r="A158" s="97">
        <f t="shared" si="3"/>
        <v>154</v>
      </c>
      <c r="B158" s="89"/>
      <c r="C158" s="89"/>
      <c r="D158" s="89"/>
      <c r="E158" s="89"/>
      <c r="F158" s="89"/>
      <c r="G158" s="89"/>
      <c r="H158" s="89"/>
      <c r="I158" s="89"/>
      <c r="J158" s="89"/>
      <c r="K158" s="89"/>
      <c r="L158" s="96"/>
      <c r="M158" s="96"/>
      <c r="N158" s="96"/>
      <c r="O158" s="96"/>
      <c r="P158" s="96"/>
      <c r="Q158" s="96"/>
      <c r="R158" s="96"/>
      <c r="S158" s="96"/>
      <c r="T158" s="96"/>
      <c r="U158" s="96"/>
      <c r="V158" s="96"/>
      <c r="W158" s="96"/>
      <c r="X158" s="96"/>
      <c r="Y158" s="96"/>
      <c r="Z158" s="96"/>
      <c r="AA158" s="96"/>
      <c r="AB158" s="96"/>
      <c r="AC158" s="96"/>
      <c r="AD158" s="96"/>
      <c r="AE158" s="96"/>
    </row>
    <row r="159">
      <c r="A159" s="97">
        <f t="shared" si="3"/>
        <v>155</v>
      </c>
      <c r="B159" s="89"/>
      <c r="C159" s="89"/>
      <c r="D159" s="89"/>
      <c r="E159" s="89"/>
      <c r="F159" s="89"/>
      <c r="G159" s="89"/>
      <c r="H159" s="89"/>
      <c r="I159" s="89"/>
      <c r="J159" s="89"/>
      <c r="K159" s="89"/>
      <c r="L159" s="96"/>
      <c r="M159" s="96"/>
      <c r="N159" s="96"/>
      <c r="O159" s="96"/>
      <c r="P159" s="96"/>
      <c r="Q159" s="96"/>
      <c r="R159" s="96"/>
      <c r="S159" s="96"/>
      <c r="T159" s="96"/>
      <c r="U159" s="96"/>
      <c r="V159" s="96"/>
      <c r="W159" s="96"/>
      <c r="X159" s="96"/>
      <c r="Y159" s="96"/>
      <c r="Z159" s="96"/>
      <c r="AA159" s="96"/>
      <c r="AB159" s="96"/>
      <c r="AC159" s="96"/>
      <c r="AD159" s="96"/>
      <c r="AE159" s="96"/>
    </row>
    <row r="160">
      <c r="A160" s="97">
        <f t="shared" si="3"/>
        <v>156</v>
      </c>
      <c r="B160" s="89"/>
      <c r="C160" s="89"/>
      <c r="D160" s="89"/>
      <c r="E160" s="89"/>
      <c r="F160" s="89"/>
      <c r="G160" s="89"/>
      <c r="H160" s="89"/>
      <c r="I160" s="89"/>
      <c r="J160" s="89"/>
      <c r="K160" s="89"/>
      <c r="L160" s="96"/>
      <c r="M160" s="96"/>
      <c r="N160" s="96"/>
      <c r="O160" s="96"/>
      <c r="P160" s="96"/>
      <c r="Q160" s="96"/>
      <c r="R160" s="96"/>
      <c r="S160" s="96"/>
      <c r="T160" s="96"/>
      <c r="U160" s="96"/>
      <c r="V160" s="96"/>
      <c r="W160" s="96"/>
      <c r="X160" s="96"/>
      <c r="Y160" s="96"/>
      <c r="Z160" s="96"/>
      <c r="AA160" s="96"/>
      <c r="AB160" s="96"/>
      <c r="AC160" s="96"/>
      <c r="AD160" s="96"/>
      <c r="AE160" s="96"/>
    </row>
    <row r="161">
      <c r="A161" s="97">
        <f t="shared" si="3"/>
        <v>157</v>
      </c>
      <c r="B161" s="89"/>
      <c r="C161" s="89"/>
      <c r="D161" s="89"/>
      <c r="E161" s="89"/>
      <c r="F161" s="89"/>
      <c r="G161" s="89"/>
      <c r="H161" s="89"/>
      <c r="I161" s="89"/>
      <c r="J161" s="89"/>
      <c r="K161" s="89"/>
      <c r="L161" s="96"/>
      <c r="M161" s="96"/>
      <c r="N161" s="96"/>
      <c r="O161" s="96"/>
      <c r="P161" s="96"/>
      <c r="Q161" s="96"/>
      <c r="R161" s="96"/>
      <c r="S161" s="96"/>
      <c r="T161" s="96"/>
      <c r="U161" s="96"/>
      <c r="V161" s="96"/>
      <c r="W161" s="96"/>
      <c r="X161" s="96"/>
      <c r="Y161" s="96"/>
      <c r="Z161" s="96"/>
      <c r="AA161" s="96"/>
      <c r="AB161" s="96"/>
      <c r="AC161" s="96"/>
      <c r="AD161" s="96"/>
      <c r="AE161" s="96"/>
    </row>
    <row r="162">
      <c r="A162" s="97">
        <f t="shared" si="3"/>
        <v>158</v>
      </c>
      <c r="B162" s="89"/>
      <c r="C162" s="89"/>
      <c r="D162" s="89"/>
      <c r="E162" s="89"/>
      <c r="F162" s="89"/>
      <c r="G162" s="89"/>
      <c r="H162" s="89"/>
      <c r="I162" s="89"/>
      <c r="J162" s="89"/>
      <c r="K162" s="89"/>
      <c r="L162" s="96"/>
      <c r="M162" s="96"/>
      <c r="N162" s="96"/>
      <c r="O162" s="96"/>
      <c r="P162" s="96"/>
      <c r="Q162" s="96"/>
      <c r="R162" s="96"/>
      <c r="S162" s="96"/>
      <c r="T162" s="96"/>
      <c r="U162" s="96"/>
      <c r="V162" s="96"/>
      <c r="W162" s="96"/>
      <c r="X162" s="96"/>
      <c r="Y162" s="96"/>
      <c r="Z162" s="96"/>
      <c r="AA162" s="96"/>
      <c r="AB162" s="96"/>
      <c r="AC162" s="96"/>
      <c r="AD162" s="96"/>
      <c r="AE162" s="96"/>
    </row>
    <row r="163">
      <c r="A163" s="97">
        <f t="shared" si="3"/>
        <v>159</v>
      </c>
      <c r="B163" s="89"/>
      <c r="C163" s="89"/>
      <c r="D163" s="89"/>
      <c r="E163" s="89"/>
      <c r="F163" s="89"/>
      <c r="G163" s="89"/>
      <c r="H163" s="89"/>
      <c r="I163" s="89"/>
      <c r="J163" s="89"/>
      <c r="K163" s="89"/>
      <c r="L163" s="96"/>
      <c r="M163" s="96"/>
      <c r="N163" s="96"/>
      <c r="O163" s="96"/>
      <c r="P163" s="96"/>
      <c r="Q163" s="96"/>
      <c r="R163" s="96"/>
      <c r="S163" s="96"/>
      <c r="T163" s="96"/>
      <c r="U163" s="96"/>
      <c r="V163" s="96"/>
      <c r="W163" s="96"/>
      <c r="X163" s="96"/>
      <c r="Y163" s="96"/>
      <c r="Z163" s="96"/>
      <c r="AA163" s="96"/>
      <c r="AB163" s="96"/>
      <c r="AC163" s="96"/>
      <c r="AD163" s="96"/>
      <c r="AE163" s="96"/>
    </row>
    <row r="164">
      <c r="A164" s="97">
        <f t="shared" si="3"/>
        <v>160</v>
      </c>
      <c r="B164" s="89"/>
      <c r="C164" s="89"/>
      <c r="D164" s="89"/>
      <c r="E164" s="89"/>
      <c r="F164" s="89"/>
      <c r="G164" s="89"/>
      <c r="H164" s="89"/>
      <c r="I164" s="89"/>
      <c r="J164" s="89"/>
      <c r="K164" s="89"/>
      <c r="L164" s="96"/>
      <c r="M164" s="96"/>
      <c r="N164" s="96"/>
      <c r="O164" s="96"/>
      <c r="P164" s="96"/>
      <c r="Q164" s="96"/>
      <c r="R164" s="96"/>
      <c r="S164" s="96"/>
      <c r="T164" s="96"/>
      <c r="U164" s="96"/>
      <c r="V164" s="96"/>
      <c r="W164" s="96"/>
      <c r="X164" s="96"/>
      <c r="Y164" s="96"/>
      <c r="Z164" s="96"/>
      <c r="AA164" s="96"/>
      <c r="AB164" s="96"/>
      <c r="AC164" s="96"/>
      <c r="AD164" s="96"/>
      <c r="AE164" s="96"/>
    </row>
    <row r="165">
      <c r="A165" s="97">
        <f t="shared" si="3"/>
        <v>161</v>
      </c>
      <c r="B165" s="89"/>
      <c r="C165" s="89"/>
      <c r="D165" s="89"/>
      <c r="E165" s="89"/>
      <c r="F165" s="89"/>
      <c r="G165" s="89"/>
      <c r="H165" s="89"/>
      <c r="I165" s="89"/>
      <c r="J165" s="89"/>
      <c r="K165" s="89"/>
      <c r="L165" s="96"/>
      <c r="M165" s="96"/>
      <c r="N165" s="96"/>
      <c r="O165" s="96"/>
      <c r="P165" s="96"/>
      <c r="Q165" s="96"/>
      <c r="R165" s="96"/>
      <c r="S165" s="96"/>
      <c r="T165" s="96"/>
      <c r="U165" s="96"/>
      <c r="V165" s="96"/>
      <c r="W165" s="96"/>
      <c r="X165" s="96"/>
      <c r="Y165" s="96"/>
      <c r="Z165" s="96"/>
      <c r="AA165" s="96"/>
      <c r="AB165" s="96"/>
      <c r="AC165" s="96"/>
      <c r="AD165" s="96"/>
      <c r="AE165" s="96"/>
    </row>
    <row r="166">
      <c r="A166" s="97">
        <f t="shared" si="3"/>
        <v>162</v>
      </c>
      <c r="B166" s="89"/>
      <c r="C166" s="89"/>
      <c r="D166" s="89"/>
      <c r="E166" s="89"/>
      <c r="F166" s="89"/>
      <c r="G166" s="89"/>
      <c r="H166" s="89"/>
      <c r="I166" s="89"/>
      <c r="J166" s="89"/>
      <c r="K166" s="89"/>
      <c r="L166" s="96"/>
      <c r="M166" s="96"/>
      <c r="N166" s="96"/>
      <c r="O166" s="96"/>
      <c r="P166" s="96"/>
      <c r="Q166" s="96"/>
      <c r="R166" s="96"/>
      <c r="S166" s="96"/>
      <c r="T166" s="96"/>
      <c r="U166" s="96"/>
      <c r="V166" s="96"/>
      <c r="W166" s="96"/>
      <c r="X166" s="96"/>
      <c r="Y166" s="96"/>
      <c r="Z166" s="96"/>
      <c r="AA166" s="96"/>
      <c r="AB166" s="96"/>
      <c r="AC166" s="96"/>
      <c r="AD166" s="96"/>
      <c r="AE166" s="96"/>
    </row>
    <row r="167">
      <c r="A167" s="97">
        <f t="shared" si="3"/>
        <v>163</v>
      </c>
      <c r="B167" s="89"/>
      <c r="C167" s="89"/>
      <c r="D167" s="89"/>
      <c r="E167" s="89"/>
      <c r="F167" s="89"/>
      <c r="G167" s="89"/>
      <c r="H167" s="89"/>
      <c r="I167" s="89"/>
      <c r="J167" s="89"/>
      <c r="K167" s="89"/>
      <c r="L167" s="96"/>
      <c r="M167" s="96"/>
      <c r="N167" s="96"/>
      <c r="O167" s="96"/>
      <c r="P167" s="96"/>
      <c r="Q167" s="96"/>
      <c r="R167" s="96"/>
      <c r="S167" s="96"/>
      <c r="T167" s="96"/>
      <c r="U167" s="96"/>
      <c r="V167" s="96"/>
      <c r="W167" s="96"/>
      <c r="X167" s="96"/>
      <c r="Y167" s="96"/>
      <c r="Z167" s="96"/>
      <c r="AA167" s="96"/>
      <c r="AB167" s="96"/>
      <c r="AC167" s="96"/>
      <c r="AD167" s="96"/>
      <c r="AE167" s="96"/>
    </row>
    <row r="168">
      <c r="A168" s="97">
        <f t="shared" si="3"/>
        <v>164</v>
      </c>
      <c r="B168" s="89"/>
      <c r="C168" s="89"/>
      <c r="D168" s="89"/>
      <c r="E168" s="89"/>
      <c r="F168" s="89"/>
      <c r="G168" s="89"/>
      <c r="H168" s="89"/>
      <c r="I168" s="89"/>
      <c r="J168" s="89"/>
      <c r="K168" s="89"/>
      <c r="L168" s="96"/>
      <c r="M168" s="96"/>
      <c r="N168" s="96"/>
      <c r="O168" s="96"/>
      <c r="P168" s="96"/>
      <c r="Q168" s="96"/>
      <c r="R168" s="96"/>
      <c r="S168" s="96"/>
      <c r="T168" s="96"/>
      <c r="U168" s="96"/>
      <c r="V168" s="96"/>
      <c r="W168" s="96"/>
      <c r="X168" s="96"/>
      <c r="Y168" s="96"/>
      <c r="Z168" s="96"/>
      <c r="AA168" s="96"/>
      <c r="AB168" s="96"/>
      <c r="AC168" s="96"/>
      <c r="AD168" s="96"/>
      <c r="AE168" s="96"/>
    </row>
    <row r="169">
      <c r="A169" s="97">
        <f t="shared" si="3"/>
        <v>165</v>
      </c>
      <c r="B169" s="89"/>
      <c r="C169" s="89"/>
      <c r="D169" s="89"/>
      <c r="E169" s="89"/>
      <c r="F169" s="89"/>
      <c r="G169" s="89"/>
      <c r="H169" s="89"/>
      <c r="I169" s="89"/>
      <c r="J169" s="89"/>
      <c r="K169" s="89"/>
      <c r="L169" s="96"/>
      <c r="M169" s="96"/>
      <c r="N169" s="96"/>
      <c r="O169" s="96"/>
      <c r="P169" s="96"/>
      <c r="Q169" s="96"/>
      <c r="R169" s="96"/>
      <c r="S169" s="96"/>
      <c r="T169" s="96"/>
      <c r="U169" s="96"/>
      <c r="V169" s="96"/>
      <c r="W169" s="96"/>
      <c r="X169" s="96"/>
      <c r="Y169" s="96"/>
      <c r="Z169" s="96"/>
      <c r="AA169" s="96"/>
      <c r="AB169" s="96"/>
      <c r="AC169" s="96"/>
      <c r="AD169" s="96"/>
      <c r="AE169" s="96"/>
    </row>
    <row r="170">
      <c r="A170" s="97">
        <f t="shared" si="3"/>
        <v>166</v>
      </c>
      <c r="B170" s="89"/>
      <c r="C170" s="89"/>
      <c r="D170" s="89"/>
      <c r="E170" s="89"/>
      <c r="F170" s="89"/>
      <c r="G170" s="89"/>
      <c r="H170" s="89"/>
      <c r="I170" s="89"/>
      <c r="J170" s="89"/>
      <c r="K170" s="89"/>
      <c r="L170" s="96"/>
      <c r="M170" s="96"/>
      <c r="N170" s="96"/>
      <c r="O170" s="96"/>
      <c r="P170" s="96"/>
      <c r="Q170" s="96"/>
      <c r="R170" s="96"/>
      <c r="S170" s="96"/>
      <c r="T170" s="96"/>
      <c r="U170" s="96"/>
      <c r="V170" s="96"/>
      <c r="W170" s="96"/>
      <c r="X170" s="96"/>
      <c r="Y170" s="96"/>
      <c r="Z170" s="96"/>
      <c r="AA170" s="96"/>
      <c r="AB170" s="96"/>
      <c r="AC170" s="96"/>
      <c r="AD170" s="96"/>
      <c r="AE170" s="96"/>
    </row>
    <row r="171">
      <c r="A171" s="97">
        <f t="shared" si="3"/>
        <v>167</v>
      </c>
      <c r="B171" s="89"/>
      <c r="C171" s="89"/>
      <c r="D171" s="89"/>
      <c r="E171" s="89"/>
      <c r="F171" s="89"/>
      <c r="G171" s="89"/>
      <c r="H171" s="89"/>
      <c r="I171" s="89"/>
      <c r="J171" s="89"/>
      <c r="K171" s="89"/>
      <c r="L171" s="96"/>
      <c r="M171" s="96"/>
      <c r="N171" s="96"/>
      <c r="O171" s="96"/>
      <c r="P171" s="96"/>
      <c r="Q171" s="96"/>
      <c r="R171" s="96"/>
      <c r="S171" s="96"/>
      <c r="T171" s="96"/>
      <c r="U171" s="96"/>
      <c r="V171" s="96"/>
      <c r="W171" s="96"/>
      <c r="X171" s="96"/>
      <c r="Y171" s="96"/>
      <c r="Z171" s="96"/>
      <c r="AA171" s="96"/>
      <c r="AB171" s="96"/>
      <c r="AC171" s="96"/>
      <c r="AD171" s="96"/>
      <c r="AE171" s="96"/>
    </row>
    <row r="172">
      <c r="A172" s="97">
        <f t="shared" si="3"/>
        <v>168</v>
      </c>
      <c r="B172" s="89"/>
      <c r="C172" s="89"/>
      <c r="D172" s="89"/>
      <c r="E172" s="89"/>
      <c r="F172" s="89"/>
      <c r="G172" s="89"/>
      <c r="H172" s="89"/>
      <c r="I172" s="89"/>
      <c r="J172" s="89"/>
      <c r="K172" s="89"/>
      <c r="L172" s="96"/>
      <c r="M172" s="96"/>
      <c r="N172" s="96"/>
      <c r="O172" s="96"/>
      <c r="P172" s="96"/>
      <c r="Q172" s="96"/>
      <c r="R172" s="96"/>
      <c r="S172" s="96"/>
      <c r="T172" s="96"/>
      <c r="U172" s="96"/>
      <c r="V172" s="96"/>
      <c r="W172" s="96"/>
      <c r="X172" s="96"/>
      <c r="Y172" s="96"/>
      <c r="Z172" s="96"/>
      <c r="AA172" s="96"/>
      <c r="AB172" s="96"/>
      <c r="AC172" s="96"/>
      <c r="AD172" s="96"/>
      <c r="AE172" s="96"/>
    </row>
    <row r="173">
      <c r="A173" s="97">
        <f t="shared" si="3"/>
        <v>169</v>
      </c>
      <c r="B173" s="89"/>
      <c r="C173" s="89"/>
      <c r="D173" s="89"/>
      <c r="E173" s="89"/>
      <c r="F173" s="89"/>
      <c r="G173" s="89"/>
      <c r="H173" s="89"/>
      <c r="I173" s="89"/>
      <c r="J173" s="89"/>
      <c r="K173" s="89"/>
      <c r="L173" s="96"/>
      <c r="M173" s="96"/>
      <c r="N173" s="96"/>
      <c r="O173" s="96"/>
      <c r="P173" s="96"/>
      <c r="Q173" s="96"/>
      <c r="R173" s="96"/>
      <c r="S173" s="96"/>
      <c r="T173" s="96"/>
      <c r="U173" s="96"/>
      <c r="V173" s="96"/>
      <c r="W173" s="96"/>
      <c r="X173" s="96"/>
      <c r="Y173" s="96"/>
      <c r="Z173" s="96"/>
      <c r="AA173" s="96"/>
      <c r="AB173" s="96"/>
      <c r="AC173" s="96"/>
      <c r="AD173" s="96"/>
      <c r="AE173" s="96"/>
    </row>
    <row r="174">
      <c r="A174" s="97">
        <f t="shared" si="3"/>
        <v>170</v>
      </c>
      <c r="B174" s="89"/>
      <c r="C174" s="89"/>
      <c r="D174" s="89"/>
      <c r="E174" s="89"/>
      <c r="F174" s="89"/>
      <c r="G174" s="89"/>
      <c r="H174" s="89"/>
      <c r="I174" s="89"/>
      <c r="J174" s="89"/>
      <c r="K174" s="89"/>
      <c r="L174" s="96"/>
      <c r="M174" s="96"/>
      <c r="N174" s="96"/>
      <c r="O174" s="96"/>
      <c r="P174" s="96"/>
      <c r="Q174" s="96"/>
      <c r="R174" s="96"/>
      <c r="S174" s="96"/>
      <c r="T174" s="96"/>
      <c r="U174" s="96"/>
      <c r="V174" s="96"/>
      <c r="W174" s="96"/>
      <c r="X174" s="96"/>
      <c r="Y174" s="96"/>
      <c r="Z174" s="96"/>
      <c r="AA174" s="96"/>
      <c r="AB174" s="96"/>
      <c r="AC174" s="96"/>
      <c r="AD174" s="96"/>
      <c r="AE174" s="96"/>
    </row>
    <row r="175">
      <c r="A175" s="97">
        <f t="shared" si="3"/>
        <v>171</v>
      </c>
      <c r="B175" s="89"/>
      <c r="C175" s="89"/>
      <c r="D175" s="89"/>
      <c r="E175" s="89"/>
      <c r="F175" s="89"/>
      <c r="G175" s="89"/>
      <c r="H175" s="89"/>
      <c r="I175" s="89"/>
      <c r="J175" s="89"/>
      <c r="K175" s="89"/>
      <c r="L175" s="96"/>
      <c r="M175" s="96"/>
      <c r="N175" s="96"/>
      <c r="O175" s="96"/>
      <c r="P175" s="96"/>
      <c r="Q175" s="96"/>
      <c r="R175" s="96"/>
      <c r="S175" s="96"/>
      <c r="T175" s="96"/>
      <c r="U175" s="96"/>
      <c r="V175" s="96"/>
      <c r="W175" s="96"/>
      <c r="X175" s="96"/>
      <c r="Y175" s="96"/>
      <c r="Z175" s="96"/>
      <c r="AA175" s="96"/>
      <c r="AB175" s="96"/>
      <c r="AC175" s="96"/>
      <c r="AD175" s="96"/>
      <c r="AE175" s="96"/>
    </row>
    <row r="176">
      <c r="A176" s="97">
        <f t="shared" si="3"/>
        <v>172</v>
      </c>
      <c r="B176" s="89"/>
      <c r="C176" s="89"/>
      <c r="D176" s="89"/>
      <c r="E176" s="89"/>
      <c r="F176" s="89"/>
      <c r="G176" s="89"/>
      <c r="H176" s="89"/>
      <c r="I176" s="89"/>
      <c r="J176" s="89"/>
      <c r="K176" s="89"/>
      <c r="L176" s="96"/>
      <c r="M176" s="96"/>
      <c r="N176" s="96"/>
      <c r="O176" s="96"/>
      <c r="P176" s="96"/>
      <c r="Q176" s="96"/>
      <c r="R176" s="96"/>
      <c r="S176" s="96"/>
      <c r="T176" s="96"/>
      <c r="U176" s="96"/>
      <c r="V176" s="96"/>
      <c r="W176" s="96"/>
      <c r="X176" s="96"/>
      <c r="Y176" s="96"/>
      <c r="Z176" s="96"/>
      <c r="AA176" s="96"/>
      <c r="AB176" s="96"/>
      <c r="AC176" s="96"/>
      <c r="AD176" s="96"/>
      <c r="AE176" s="96"/>
    </row>
    <row r="177">
      <c r="A177" s="97">
        <f t="shared" si="3"/>
        <v>173</v>
      </c>
      <c r="B177" s="89"/>
      <c r="C177" s="89"/>
      <c r="D177" s="89"/>
      <c r="E177" s="89"/>
      <c r="F177" s="89"/>
      <c r="G177" s="89"/>
      <c r="H177" s="89"/>
      <c r="I177" s="89"/>
      <c r="J177" s="89"/>
      <c r="K177" s="89"/>
      <c r="L177" s="96"/>
      <c r="M177" s="96"/>
      <c r="N177" s="96"/>
      <c r="O177" s="96"/>
      <c r="P177" s="96"/>
      <c r="Q177" s="96"/>
      <c r="R177" s="96"/>
      <c r="S177" s="96"/>
      <c r="T177" s="96"/>
      <c r="U177" s="96"/>
      <c r="V177" s="96"/>
      <c r="W177" s="96"/>
      <c r="X177" s="96"/>
      <c r="Y177" s="96"/>
      <c r="Z177" s="96"/>
      <c r="AA177" s="96"/>
      <c r="AB177" s="96"/>
      <c r="AC177" s="96"/>
      <c r="AD177" s="96"/>
      <c r="AE177" s="96"/>
    </row>
    <row r="178">
      <c r="A178" s="97">
        <f t="shared" si="3"/>
        <v>174</v>
      </c>
      <c r="B178" s="89"/>
      <c r="C178" s="89"/>
      <c r="D178" s="89"/>
      <c r="E178" s="89"/>
      <c r="F178" s="89"/>
      <c r="G178" s="89"/>
      <c r="H178" s="89"/>
      <c r="I178" s="89"/>
      <c r="J178" s="89"/>
      <c r="K178" s="89"/>
      <c r="L178" s="96"/>
      <c r="M178" s="96"/>
      <c r="N178" s="96"/>
      <c r="O178" s="96"/>
      <c r="P178" s="96"/>
      <c r="Q178" s="96"/>
      <c r="R178" s="96"/>
      <c r="S178" s="96"/>
      <c r="T178" s="96"/>
      <c r="U178" s="96"/>
      <c r="V178" s="96"/>
      <c r="W178" s="96"/>
      <c r="X178" s="96"/>
      <c r="Y178" s="96"/>
      <c r="Z178" s="96"/>
      <c r="AA178" s="96"/>
      <c r="AB178" s="96"/>
      <c r="AC178" s="96"/>
      <c r="AD178" s="96"/>
      <c r="AE178" s="96"/>
    </row>
    <row r="179">
      <c r="A179" s="97">
        <f t="shared" si="3"/>
        <v>175</v>
      </c>
      <c r="B179" s="89"/>
      <c r="C179" s="89"/>
      <c r="D179" s="89"/>
      <c r="E179" s="89"/>
      <c r="F179" s="89"/>
      <c r="G179" s="89"/>
      <c r="H179" s="89"/>
      <c r="I179" s="89"/>
      <c r="J179" s="89"/>
      <c r="K179" s="89"/>
      <c r="L179" s="96"/>
      <c r="M179" s="96"/>
      <c r="N179" s="96"/>
      <c r="O179" s="96"/>
      <c r="P179" s="96"/>
      <c r="Q179" s="96"/>
      <c r="R179" s="96"/>
      <c r="S179" s="96"/>
      <c r="T179" s="96"/>
      <c r="U179" s="96"/>
      <c r="V179" s="96"/>
      <c r="W179" s="96"/>
      <c r="X179" s="96"/>
      <c r="Y179" s="96"/>
      <c r="Z179" s="96"/>
      <c r="AA179" s="96"/>
      <c r="AB179" s="96"/>
      <c r="AC179" s="96"/>
      <c r="AD179" s="96"/>
      <c r="AE179" s="96"/>
    </row>
    <row r="180">
      <c r="A180" s="97">
        <f t="shared" si="3"/>
        <v>176</v>
      </c>
      <c r="B180" s="89"/>
      <c r="C180" s="89"/>
      <c r="D180" s="89"/>
      <c r="E180" s="89"/>
      <c r="F180" s="89"/>
      <c r="G180" s="89"/>
      <c r="H180" s="89"/>
      <c r="I180" s="89"/>
      <c r="J180" s="89"/>
      <c r="K180" s="89"/>
      <c r="L180" s="96"/>
      <c r="M180" s="96"/>
      <c r="N180" s="96"/>
      <c r="O180" s="96"/>
      <c r="P180" s="96"/>
      <c r="Q180" s="96"/>
      <c r="R180" s="96"/>
      <c r="S180" s="96"/>
      <c r="T180" s="96"/>
      <c r="U180" s="96"/>
      <c r="V180" s="96"/>
      <c r="W180" s="96"/>
      <c r="X180" s="96"/>
      <c r="Y180" s="96"/>
      <c r="Z180" s="96"/>
      <c r="AA180" s="96"/>
      <c r="AB180" s="96"/>
      <c r="AC180" s="96"/>
      <c r="AD180" s="96"/>
      <c r="AE180" s="96"/>
    </row>
    <row r="181">
      <c r="A181" s="97">
        <f t="shared" si="3"/>
        <v>177</v>
      </c>
      <c r="B181" s="89"/>
      <c r="C181" s="89"/>
      <c r="D181" s="89"/>
      <c r="E181" s="89"/>
      <c r="F181" s="89"/>
      <c r="G181" s="89"/>
      <c r="H181" s="89"/>
      <c r="I181" s="89"/>
      <c r="J181" s="89"/>
      <c r="K181" s="89"/>
      <c r="L181" s="96"/>
      <c r="M181" s="96"/>
      <c r="N181" s="96"/>
      <c r="O181" s="96"/>
      <c r="P181" s="96"/>
      <c r="Q181" s="96"/>
      <c r="R181" s="96"/>
      <c r="S181" s="96"/>
      <c r="T181" s="96"/>
      <c r="U181" s="96"/>
      <c r="V181" s="96"/>
      <c r="W181" s="96"/>
      <c r="X181" s="96"/>
      <c r="Y181" s="96"/>
      <c r="Z181" s="96"/>
      <c r="AA181" s="96"/>
      <c r="AB181" s="96"/>
      <c r="AC181" s="96"/>
      <c r="AD181" s="96"/>
      <c r="AE181" s="96"/>
    </row>
    <row r="182">
      <c r="A182" s="97">
        <f t="shared" si="3"/>
        <v>178</v>
      </c>
      <c r="B182" s="89"/>
      <c r="C182" s="89"/>
      <c r="D182" s="89"/>
      <c r="E182" s="89"/>
      <c r="F182" s="89"/>
      <c r="G182" s="89"/>
      <c r="H182" s="89"/>
      <c r="I182" s="89"/>
      <c r="J182" s="89"/>
      <c r="K182" s="89"/>
      <c r="L182" s="96"/>
      <c r="M182" s="96"/>
      <c r="N182" s="96"/>
      <c r="O182" s="96"/>
      <c r="P182" s="96"/>
      <c r="Q182" s="96"/>
      <c r="R182" s="96"/>
      <c r="S182" s="96"/>
      <c r="T182" s="96"/>
      <c r="U182" s="96"/>
      <c r="V182" s="96"/>
      <c r="W182" s="96"/>
      <c r="X182" s="96"/>
      <c r="Y182" s="96"/>
      <c r="Z182" s="96"/>
      <c r="AA182" s="96"/>
      <c r="AB182" s="96"/>
      <c r="AC182" s="96"/>
      <c r="AD182" s="96"/>
      <c r="AE182" s="96"/>
    </row>
    <row r="183">
      <c r="A183" s="97">
        <f t="shared" si="3"/>
        <v>179</v>
      </c>
      <c r="B183" s="89"/>
      <c r="C183" s="89"/>
      <c r="D183" s="89"/>
      <c r="E183" s="89"/>
      <c r="F183" s="89"/>
      <c r="G183" s="89"/>
      <c r="H183" s="89"/>
      <c r="I183" s="89"/>
      <c r="J183" s="89"/>
      <c r="K183" s="89"/>
      <c r="L183" s="96"/>
      <c r="M183" s="96"/>
      <c r="N183" s="96"/>
      <c r="O183" s="96"/>
      <c r="P183" s="96"/>
      <c r="Q183" s="96"/>
      <c r="R183" s="96"/>
      <c r="S183" s="96"/>
      <c r="T183" s="96"/>
      <c r="U183" s="96"/>
      <c r="V183" s="96"/>
      <c r="W183" s="96"/>
      <c r="X183" s="96"/>
      <c r="Y183" s="96"/>
      <c r="Z183" s="96"/>
      <c r="AA183" s="96"/>
      <c r="AB183" s="96"/>
      <c r="AC183" s="96"/>
      <c r="AD183" s="96"/>
      <c r="AE183" s="96"/>
    </row>
    <row r="184">
      <c r="A184" s="97">
        <f t="shared" si="3"/>
        <v>180</v>
      </c>
      <c r="B184" s="89"/>
      <c r="C184" s="89"/>
      <c r="D184" s="89"/>
      <c r="E184" s="89"/>
      <c r="F184" s="89"/>
      <c r="G184" s="89"/>
      <c r="H184" s="89"/>
      <c r="I184" s="89"/>
      <c r="J184" s="89"/>
      <c r="K184" s="89"/>
      <c r="L184" s="96"/>
      <c r="M184" s="96"/>
      <c r="N184" s="96"/>
      <c r="O184" s="96"/>
      <c r="P184" s="96"/>
      <c r="Q184" s="96"/>
      <c r="R184" s="96"/>
      <c r="S184" s="96"/>
      <c r="T184" s="96"/>
      <c r="U184" s="96"/>
      <c r="V184" s="96"/>
      <c r="W184" s="96"/>
      <c r="X184" s="96"/>
      <c r="Y184" s="96"/>
      <c r="Z184" s="96"/>
      <c r="AA184" s="96"/>
      <c r="AB184" s="96"/>
      <c r="AC184" s="96"/>
      <c r="AD184" s="96"/>
      <c r="AE184" s="96"/>
    </row>
    <row r="185">
      <c r="A185" s="97">
        <f t="shared" si="3"/>
        <v>181</v>
      </c>
      <c r="B185" s="89"/>
      <c r="C185" s="89"/>
      <c r="D185" s="89"/>
      <c r="E185" s="89"/>
      <c r="F185" s="89"/>
      <c r="G185" s="89"/>
      <c r="H185" s="89"/>
      <c r="I185" s="89"/>
      <c r="J185" s="89"/>
      <c r="K185" s="89"/>
      <c r="L185" s="96"/>
      <c r="M185" s="96"/>
      <c r="N185" s="96"/>
      <c r="O185" s="96"/>
      <c r="P185" s="96"/>
      <c r="Q185" s="96"/>
      <c r="R185" s="96"/>
      <c r="S185" s="96"/>
      <c r="T185" s="96"/>
      <c r="U185" s="96"/>
      <c r="V185" s="96"/>
      <c r="W185" s="96"/>
      <c r="X185" s="96"/>
      <c r="Y185" s="96"/>
      <c r="Z185" s="96"/>
      <c r="AA185" s="96"/>
      <c r="AB185" s="96"/>
      <c r="AC185" s="96"/>
      <c r="AD185" s="96"/>
      <c r="AE185" s="96"/>
    </row>
    <row r="186">
      <c r="A186" s="97">
        <f t="shared" si="3"/>
        <v>182</v>
      </c>
      <c r="B186" s="89"/>
      <c r="C186" s="89"/>
      <c r="D186" s="89"/>
      <c r="E186" s="89"/>
      <c r="F186" s="89"/>
      <c r="G186" s="89"/>
      <c r="H186" s="89"/>
      <c r="I186" s="89"/>
      <c r="J186" s="89"/>
      <c r="K186" s="89"/>
      <c r="L186" s="96"/>
      <c r="M186" s="96"/>
      <c r="N186" s="96"/>
      <c r="O186" s="96"/>
      <c r="P186" s="96"/>
      <c r="Q186" s="96"/>
      <c r="R186" s="96"/>
      <c r="S186" s="96"/>
      <c r="T186" s="96"/>
      <c r="U186" s="96"/>
      <c r="V186" s="96"/>
      <c r="W186" s="96"/>
      <c r="X186" s="96"/>
      <c r="Y186" s="96"/>
      <c r="Z186" s="96"/>
      <c r="AA186" s="96"/>
      <c r="AB186" s="96"/>
      <c r="AC186" s="96"/>
      <c r="AD186" s="96"/>
      <c r="AE186" s="96"/>
    </row>
    <row r="187">
      <c r="A187" s="97">
        <f t="shared" si="3"/>
        <v>183</v>
      </c>
      <c r="B187" s="89"/>
      <c r="C187" s="89"/>
      <c r="D187" s="89"/>
      <c r="E187" s="89"/>
      <c r="F187" s="89"/>
      <c r="G187" s="89"/>
      <c r="H187" s="89"/>
      <c r="I187" s="89"/>
      <c r="J187" s="89"/>
      <c r="K187" s="89"/>
      <c r="L187" s="96"/>
      <c r="M187" s="96"/>
      <c r="N187" s="96"/>
      <c r="O187" s="96"/>
      <c r="P187" s="96"/>
      <c r="Q187" s="96"/>
      <c r="R187" s="96"/>
      <c r="S187" s="96"/>
      <c r="T187" s="96"/>
      <c r="U187" s="96"/>
      <c r="V187" s="96"/>
      <c r="W187" s="96"/>
      <c r="X187" s="96"/>
      <c r="Y187" s="96"/>
      <c r="Z187" s="96"/>
      <c r="AA187" s="96"/>
      <c r="AB187" s="96"/>
      <c r="AC187" s="96"/>
      <c r="AD187" s="96"/>
      <c r="AE187" s="96"/>
    </row>
    <row r="188">
      <c r="A188" s="97">
        <f t="shared" si="3"/>
        <v>184</v>
      </c>
      <c r="B188" s="89"/>
      <c r="C188" s="89"/>
      <c r="D188" s="89"/>
      <c r="E188" s="89"/>
      <c r="F188" s="89"/>
      <c r="G188" s="89"/>
      <c r="H188" s="89"/>
      <c r="I188" s="89"/>
      <c r="J188" s="89"/>
      <c r="K188" s="89"/>
      <c r="L188" s="96"/>
      <c r="M188" s="96"/>
      <c r="N188" s="96"/>
      <c r="O188" s="96"/>
      <c r="P188" s="96"/>
      <c r="Q188" s="96"/>
      <c r="R188" s="96"/>
      <c r="S188" s="96"/>
      <c r="T188" s="96"/>
      <c r="U188" s="96"/>
      <c r="V188" s="96"/>
      <c r="W188" s="96"/>
      <c r="X188" s="96"/>
      <c r="Y188" s="96"/>
      <c r="Z188" s="96"/>
      <c r="AA188" s="96"/>
      <c r="AB188" s="96"/>
      <c r="AC188" s="96"/>
      <c r="AD188" s="96"/>
      <c r="AE188" s="96"/>
    </row>
    <row r="189">
      <c r="A189" s="97">
        <f t="shared" si="3"/>
        <v>185</v>
      </c>
      <c r="B189" s="89"/>
      <c r="C189" s="89"/>
      <c r="D189" s="89"/>
      <c r="E189" s="89"/>
      <c r="F189" s="89"/>
      <c r="G189" s="89"/>
      <c r="H189" s="89"/>
      <c r="I189" s="89"/>
      <c r="J189" s="89"/>
      <c r="K189" s="89"/>
      <c r="L189" s="96"/>
      <c r="M189" s="96"/>
      <c r="N189" s="96"/>
      <c r="O189" s="96"/>
      <c r="P189" s="96"/>
      <c r="Q189" s="96"/>
      <c r="R189" s="96"/>
      <c r="S189" s="96"/>
      <c r="T189" s="96"/>
      <c r="U189" s="96"/>
      <c r="V189" s="96"/>
      <c r="W189" s="96"/>
      <c r="X189" s="96"/>
      <c r="Y189" s="96"/>
      <c r="Z189" s="96"/>
      <c r="AA189" s="96"/>
      <c r="AB189" s="96"/>
      <c r="AC189" s="96"/>
      <c r="AD189" s="96"/>
      <c r="AE189" s="96"/>
    </row>
    <row r="190">
      <c r="A190" s="97">
        <f t="shared" si="3"/>
        <v>186</v>
      </c>
      <c r="B190" s="89"/>
      <c r="C190" s="89"/>
      <c r="D190" s="89"/>
      <c r="E190" s="89"/>
      <c r="F190" s="89"/>
      <c r="G190" s="89"/>
      <c r="H190" s="89"/>
      <c r="I190" s="89"/>
      <c r="J190" s="89"/>
      <c r="K190" s="89"/>
      <c r="L190" s="96"/>
      <c r="M190" s="96"/>
      <c r="N190" s="96"/>
      <c r="O190" s="96"/>
      <c r="P190" s="96"/>
      <c r="Q190" s="96"/>
      <c r="R190" s="96"/>
      <c r="S190" s="96"/>
      <c r="T190" s="96"/>
      <c r="U190" s="96"/>
      <c r="V190" s="96"/>
      <c r="W190" s="96"/>
      <c r="X190" s="96"/>
      <c r="Y190" s="96"/>
      <c r="Z190" s="96"/>
      <c r="AA190" s="96"/>
      <c r="AB190" s="96"/>
      <c r="AC190" s="96"/>
      <c r="AD190" s="96"/>
      <c r="AE190" s="96"/>
    </row>
    <row r="191">
      <c r="A191" s="97">
        <f t="shared" si="3"/>
        <v>187</v>
      </c>
      <c r="B191" s="89"/>
      <c r="C191" s="89"/>
      <c r="D191" s="89"/>
      <c r="E191" s="89"/>
      <c r="F191" s="89"/>
      <c r="G191" s="89"/>
      <c r="H191" s="89"/>
      <c r="I191" s="89"/>
      <c r="J191" s="89"/>
      <c r="K191" s="89"/>
      <c r="L191" s="96"/>
      <c r="M191" s="96"/>
      <c r="N191" s="96"/>
      <c r="O191" s="96"/>
      <c r="P191" s="96"/>
      <c r="Q191" s="96"/>
      <c r="R191" s="96"/>
      <c r="S191" s="96"/>
      <c r="T191" s="96"/>
      <c r="U191" s="96"/>
      <c r="V191" s="96"/>
      <c r="W191" s="96"/>
      <c r="X191" s="96"/>
      <c r="Y191" s="96"/>
      <c r="Z191" s="96"/>
      <c r="AA191" s="96"/>
      <c r="AB191" s="96"/>
      <c r="AC191" s="96"/>
      <c r="AD191" s="96"/>
      <c r="AE191" s="96"/>
    </row>
    <row r="192">
      <c r="A192" s="97">
        <f t="shared" si="3"/>
        <v>188</v>
      </c>
      <c r="B192" s="89"/>
      <c r="C192" s="89"/>
      <c r="D192" s="89"/>
      <c r="E192" s="89"/>
      <c r="F192" s="89"/>
      <c r="G192" s="89"/>
      <c r="H192" s="89"/>
      <c r="I192" s="89"/>
      <c r="J192" s="89"/>
      <c r="K192" s="89"/>
      <c r="L192" s="96"/>
      <c r="M192" s="96"/>
      <c r="N192" s="96"/>
      <c r="O192" s="96"/>
      <c r="P192" s="96"/>
      <c r="Q192" s="96"/>
      <c r="R192" s="96"/>
      <c r="S192" s="96"/>
      <c r="T192" s="96"/>
      <c r="U192" s="96"/>
      <c r="V192" s="96"/>
      <c r="W192" s="96"/>
      <c r="X192" s="96"/>
      <c r="Y192" s="96"/>
      <c r="Z192" s="96"/>
      <c r="AA192" s="96"/>
      <c r="AB192" s="96"/>
      <c r="AC192" s="96"/>
      <c r="AD192" s="96"/>
      <c r="AE192" s="96"/>
    </row>
    <row r="193">
      <c r="A193" s="97">
        <f t="shared" si="3"/>
        <v>189</v>
      </c>
      <c r="B193" s="89"/>
      <c r="C193" s="89"/>
      <c r="D193" s="89"/>
      <c r="E193" s="89"/>
      <c r="F193" s="89"/>
      <c r="G193" s="89"/>
      <c r="H193" s="89"/>
      <c r="I193" s="89"/>
      <c r="J193" s="89"/>
      <c r="K193" s="89"/>
      <c r="L193" s="96"/>
      <c r="M193" s="96"/>
      <c r="N193" s="96"/>
      <c r="O193" s="96"/>
      <c r="P193" s="96"/>
      <c r="Q193" s="96"/>
      <c r="R193" s="96"/>
      <c r="S193" s="96"/>
      <c r="T193" s="96"/>
      <c r="U193" s="96"/>
      <c r="V193" s="96"/>
      <c r="W193" s="96"/>
      <c r="X193" s="96"/>
      <c r="Y193" s="96"/>
      <c r="Z193" s="96"/>
      <c r="AA193" s="96"/>
      <c r="AB193" s="96"/>
      <c r="AC193" s="96"/>
      <c r="AD193" s="96"/>
      <c r="AE193" s="96"/>
    </row>
    <row r="194">
      <c r="A194" s="97">
        <f t="shared" si="3"/>
        <v>190</v>
      </c>
      <c r="B194" s="89"/>
      <c r="C194" s="89"/>
      <c r="D194" s="89"/>
      <c r="E194" s="89"/>
      <c r="F194" s="89"/>
      <c r="G194" s="89"/>
      <c r="H194" s="89"/>
      <c r="I194" s="89"/>
      <c r="J194" s="89"/>
      <c r="K194" s="89"/>
      <c r="L194" s="96"/>
      <c r="M194" s="96"/>
      <c r="N194" s="96"/>
      <c r="O194" s="96"/>
      <c r="P194" s="96"/>
      <c r="Q194" s="96"/>
      <c r="R194" s="96"/>
      <c r="S194" s="96"/>
      <c r="T194" s="96"/>
      <c r="U194" s="96"/>
      <c r="V194" s="96"/>
      <c r="W194" s="96"/>
      <c r="X194" s="96"/>
      <c r="Y194" s="96"/>
      <c r="Z194" s="96"/>
      <c r="AA194" s="96"/>
      <c r="AB194" s="96"/>
      <c r="AC194" s="96"/>
      <c r="AD194" s="96"/>
      <c r="AE194" s="96"/>
    </row>
    <row r="195">
      <c r="A195" s="97">
        <f t="shared" si="3"/>
        <v>191</v>
      </c>
      <c r="B195" s="89"/>
      <c r="C195" s="89"/>
      <c r="D195" s="89"/>
      <c r="E195" s="89"/>
      <c r="F195" s="89"/>
      <c r="G195" s="89"/>
      <c r="H195" s="89"/>
      <c r="I195" s="89"/>
      <c r="J195" s="89"/>
      <c r="K195" s="89"/>
      <c r="L195" s="96"/>
      <c r="M195" s="96"/>
      <c r="N195" s="96"/>
      <c r="O195" s="96"/>
      <c r="P195" s="96"/>
      <c r="Q195" s="96"/>
      <c r="R195" s="96"/>
      <c r="S195" s="96"/>
      <c r="T195" s="96"/>
      <c r="U195" s="96"/>
      <c r="V195" s="96"/>
      <c r="W195" s="96"/>
      <c r="X195" s="96"/>
      <c r="Y195" s="96"/>
      <c r="Z195" s="96"/>
      <c r="AA195" s="96"/>
      <c r="AB195" s="96"/>
      <c r="AC195" s="96"/>
      <c r="AD195" s="96"/>
      <c r="AE195" s="96"/>
    </row>
    <row r="196">
      <c r="A196" s="97">
        <f t="shared" si="3"/>
        <v>192</v>
      </c>
      <c r="B196" s="89"/>
      <c r="C196" s="89"/>
      <c r="D196" s="89"/>
      <c r="E196" s="89"/>
      <c r="F196" s="89"/>
      <c r="G196" s="89"/>
      <c r="H196" s="89"/>
      <c r="I196" s="89"/>
      <c r="J196" s="89"/>
      <c r="K196" s="89"/>
      <c r="L196" s="96"/>
      <c r="M196" s="96"/>
      <c r="N196" s="96"/>
      <c r="O196" s="96"/>
      <c r="P196" s="96"/>
      <c r="Q196" s="96"/>
      <c r="R196" s="96"/>
      <c r="S196" s="96"/>
      <c r="T196" s="96"/>
      <c r="U196" s="96"/>
      <c r="V196" s="96"/>
      <c r="W196" s="96"/>
      <c r="X196" s="96"/>
      <c r="Y196" s="96"/>
      <c r="Z196" s="96"/>
      <c r="AA196" s="96"/>
      <c r="AB196" s="96"/>
      <c r="AC196" s="96"/>
      <c r="AD196" s="96"/>
      <c r="AE196" s="96"/>
    </row>
    <row r="197">
      <c r="A197" s="97">
        <f t="shared" si="3"/>
        <v>193</v>
      </c>
      <c r="B197" s="89"/>
      <c r="C197" s="89"/>
      <c r="D197" s="89"/>
      <c r="E197" s="89"/>
      <c r="F197" s="89"/>
      <c r="G197" s="89"/>
      <c r="H197" s="89"/>
      <c r="I197" s="89"/>
      <c r="J197" s="89"/>
      <c r="K197" s="89"/>
      <c r="L197" s="96"/>
      <c r="M197" s="96"/>
      <c r="N197" s="96"/>
      <c r="O197" s="96"/>
      <c r="P197" s="96"/>
      <c r="Q197" s="96"/>
      <c r="R197" s="96"/>
      <c r="S197" s="96"/>
      <c r="T197" s="96"/>
      <c r="U197" s="96"/>
      <c r="V197" s="96"/>
      <c r="W197" s="96"/>
      <c r="X197" s="96"/>
      <c r="Y197" s="96"/>
      <c r="Z197" s="96"/>
      <c r="AA197" s="96"/>
      <c r="AB197" s="96"/>
      <c r="AC197" s="96"/>
      <c r="AD197" s="96"/>
      <c r="AE197" s="96"/>
    </row>
    <row r="198">
      <c r="A198" s="97">
        <f t="shared" si="3"/>
        <v>194</v>
      </c>
      <c r="B198" s="89"/>
      <c r="C198" s="89"/>
      <c r="D198" s="89"/>
      <c r="E198" s="89"/>
      <c r="F198" s="89"/>
      <c r="G198" s="89"/>
      <c r="H198" s="89"/>
      <c r="I198" s="89"/>
      <c r="J198" s="89"/>
      <c r="K198" s="89"/>
      <c r="L198" s="96"/>
      <c r="M198" s="96"/>
      <c r="N198" s="96"/>
      <c r="O198" s="96"/>
      <c r="P198" s="96"/>
      <c r="Q198" s="96"/>
      <c r="R198" s="96"/>
      <c r="S198" s="96"/>
      <c r="T198" s="96"/>
      <c r="U198" s="96"/>
      <c r="V198" s="96"/>
      <c r="W198" s="96"/>
      <c r="X198" s="96"/>
      <c r="Y198" s="96"/>
      <c r="Z198" s="96"/>
      <c r="AA198" s="96"/>
      <c r="AB198" s="96"/>
      <c r="AC198" s="96"/>
      <c r="AD198" s="96"/>
      <c r="AE198" s="96"/>
    </row>
    <row r="199">
      <c r="A199" s="97">
        <f t="shared" si="3"/>
        <v>195</v>
      </c>
      <c r="B199" s="89"/>
      <c r="C199" s="89"/>
      <c r="D199" s="89"/>
      <c r="E199" s="89"/>
      <c r="F199" s="89"/>
      <c r="G199" s="89"/>
      <c r="H199" s="89"/>
      <c r="I199" s="89"/>
      <c r="J199" s="89"/>
      <c r="K199" s="89"/>
      <c r="L199" s="96"/>
      <c r="M199" s="96"/>
      <c r="N199" s="96"/>
      <c r="O199" s="96"/>
      <c r="P199" s="96"/>
      <c r="Q199" s="96"/>
      <c r="R199" s="96"/>
      <c r="S199" s="96"/>
      <c r="T199" s="96"/>
      <c r="U199" s="96"/>
      <c r="V199" s="96"/>
      <c r="W199" s="96"/>
      <c r="X199" s="96"/>
      <c r="Y199" s="96"/>
      <c r="Z199" s="96"/>
      <c r="AA199" s="96"/>
      <c r="AB199" s="96"/>
      <c r="AC199" s="96"/>
      <c r="AD199" s="96"/>
      <c r="AE199" s="96"/>
    </row>
    <row r="200">
      <c r="A200" s="97">
        <f t="shared" si="3"/>
        <v>196</v>
      </c>
      <c r="B200" s="89"/>
      <c r="C200" s="89"/>
      <c r="D200" s="89"/>
      <c r="E200" s="89"/>
      <c r="F200" s="89"/>
      <c r="G200" s="89"/>
      <c r="H200" s="89"/>
      <c r="I200" s="89"/>
      <c r="J200" s="89"/>
      <c r="K200" s="89"/>
      <c r="L200" s="96"/>
      <c r="M200" s="96"/>
      <c r="N200" s="96"/>
      <c r="O200" s="96"/>
      <c r="P200" s="96"/>
      <c r="Q200" s="96"/>
      <c r="R200" s="96"/>
      <c r="S200" s="96"/>
      <c r="T200" s="96"/>
      <c r="U200" s="96"/>
      <c r="V200" s="96"/>
      <c r="W200" s="96"/>
      <c r="X200" s="96"/>
      <c r="Y200" s="96"/>
      <c r="Z200" s="96"/>
      <c r="AA200" s="96"/>
      <c r="AB200" s="96"/>
      <c r="AC200" s="96"/>
      <c r="AD200" s="96"/>
      <c r="AE200" s="96"/>
    </row>
    <row r="201">
      <c r="A201" s="97">
        <f t="shared" si="3"/>
        <v>197</v>
      </c>
      <c r="B201" s="89"/>
      <c r="C201" s="89"/>
      <c r="D201" s="89"/>
      <c r="E201" s="89"/>
      <c r="F201" s="89"/>
      <c r="G201" s="89"/>
      <c r="H201" s="89"/>
      <c r="I201" s="89"/>
      <c r="J201" s="89"/>
      <c r="K201" s="89"/>
      <c r="L201" s="96"/>
      <c r="M201" s="96"/>
      <c r="N201" s="96"/>
      <c r="O201" s="96"/>
      <c r="P201" s="96"/>
      <c r="Q201" s="96"/>
      <c r="R201" s="96"/>
      <c r="S201" s="96"/>
      <c r="T201" s="96"/>
      <c r="U201" s="96"/>
      <c r="V201" s="96"/>
      <c r="W201" s="96"/>
      <c r="X201" s="96"/>
      <c r="Y201" s="96"/>
      <c r="Z201" s="96"/>
      <c r="AA201" s="96"/>
      <c r="AB201" s="96"/>
      <c r="AC201" s="96"/>
      <c r="AD201" s="96"/>
      <c r="AE201" s="96"/>
    </row>
    <row r="202">
      <c r="A202" s="97">
        <f t="shared" si="3"/>
        <v>198</v>
      </c>
      <c r="B202" s="89"/>
      <c r="C202" s="89"/>
      <c r="D202" s="89"/>
      <c r="E202" s="89"/>
      <c r="F202" s="89"/>
      <c r="G202" s="89"/>
      <c r="H202" s="89"/>
      <c r="I202" s="89"/>
      <c r="J202" s="89"/>
      <c r="K202" s="89"/>
      <c r="L202" s="96"/>
      <c r="M202" s="96"/>
      <c r="N202" s="96"/>
      <c r="O202" s="96"/>
      <c r="P202" s="96"/>
      <c r="Q202" s="96"/>
      <c r="R202" s="96"/>
      <c r="S202" s="96"/>
      <c r="T202" s="96"/>
      <c r="U202" s="96"/>
      <c r="V202" s="96"/>
      <c r="W202" s="96"/>
      <c r="X202" s="96"/>
      <c r="Y202" s="96"/>
      <c r="Z202" s="96"/>
      <c r="AA202" s="96"/>
      <c r="AB202" s="96"/>
      <c r="AC202" s="96"/>
      <c r="AD202" s="96"/>
      <c r="AE202" s="96"/>
    </row>
    <row r="203">
      <c r="A203" s="97">
        <f t="shared" si="3"/>
        <v>199</v>
      </c>
      <c r="B203" s="89"/>
      <c r="C203" s="89"/>
      <c r="D203" s="89"/>
      <c r="E203" s="89"/>
      <c r="F203" s="89"/>
      <c r="G203" s="89"/>
      <c r="H203" s="89"/>
      <c r="I203" s="89"/>
      <c r="J203" s="89"/>
      <c r="K203" s="89"/>
      <c r="L203" s="96"/>
      <c r="M203" s="96"/>
      <c r="N203" s="96"/>
      <c r="O203" s="96"/>
      <c r="P203" s="96"/>
      <c r="Q203" s="96"/>
      <c r="R203" s="96"/>
      <c r="S203" s="96"/>
      <c r="T203" s="96"/>
      <c r="U203" s="96"/>
      <c r="V203" s="96"/>
      <c r="W203" s="96"/>
      <c r="X203" s="96"/>
      <c r="Y203" s="96"/>
      <c r="Z203" s="96"/>
      <c r="AA203" s="96"/>
      <c r="AB203" s="96"/>
      <c r="AC203" s="96"/>
      <c r="AD203" s="96"/>
      <c r="AE203" s="96"/>
    </row>
    <row r="204">
      <c r="A204" s="97">
        <f t="shared" si="3"/>
        <v>200</v>
      </c>
      <c r="B204" s="89"/>
      <c r="C204" s="89"/>
      <c r="D204" s="89"/>
      <c r="E204" s="89"/>
      <c r="F204" s="89"/>
      <c r="G204" s="89"/>
      <c r="H204" s="89"/>
      <c r="I204" s="89"/>
      <c r="J204" s="89"/>
      <c r="K204" s="89"/>
      <c r="L204" s="96"/>
      <c r="M204" s="96"/>
      <c r="N204" s="96"/>
      <c r="O204" s="96"/>
      <c r="P204" s="96"/>
      <c r="Q204" s="96"/>
      <c r="R204" s="96"/>
      <c r="S204" s="96"/>
      <c r="T204" s="96"/>
      <c r="U204" s="96"/>
      <c r="V204" s="96"/>
      <c r="W204" s="96"/>
      <c r="X204" s="96"/>
      <c r="Y204" s="96"/>
      <c r="Z204" s="96"/>
      <c r="AA204" s="96"/>
      <c r="AB204" s="96"/>
      <c r="AC204" s="96"/>
      <c r="AD204" s="96"/>
      <c r="AE204" s="96"/>
    </row>
    <row r="205">
      <c r="A205" s="97">
        <f t="shared" si="3"/>
        <v>201</v>
      </c>
      <c r="B205" s="89"/>
      <c r="C205" s="89"/>
      <c r="D205" s="89"/>
      <c r="E205" s="89"/>
      <c r="F205" s="89"/>
      <c r="G205" s="89"/>
      <c r="H205" s="89"/>
      <c r="I205" s="89"/>
      <c r="J205" s="89"/>
      <c r="K205" s="89"/>
      <c r="L205" s="96"/>
      <c r="M205" s="96"/>
      <c r="N205" s="96"/>
      <c r="O205" s="96"/>
      <c r="P205" s="96"/>
      <c r="Q205" s="96"/>
      <c r="R205" s="96"/>
      <c r="S205" s="96"/>
      <c r="T205" s="96"/>
      <c r="U205" s="96"/>
      <c r="V205" s="96"/>
      <c r="W205" s="96"/>
      <c r="X205" s="96"/>
      <c r="Y205" s="96"/>
      <c r="Z205" s="96"/>
      <c r="AA205" s="96"/>
      <c r="AB205" s="96"/>
      <c r="AC205" s="96"/>
      <c r="AD205" s="96"/>
      <c r="AE205" s="96"/>
    </row>
    <row r="206">
      <c r="A206" s="97">
        <f t="shared" si="3"/>
        <v>202</v>
      </c>
      <c r="B206" s="89"/>
      <c r="C206" s="89"/>
      <c r="D206" s="89"/>
      <c r="E206" s="89"/>
      <c r="F206" s="89"/>
      <c r="G206" s="89"/>
      <c r="H206" s="89"/>
      <c r="I206" s="89"/>
      <c r="J206" s="89"/>
      <c r="K206" s="89"/>
      <c r="L206" s="96"/>
      <c r="M206" s="96"/>
      <c r="N206" s="96"/>
      <c r="O206" s="96"/>
      <c r="P206" s="96"/>
      <c r="Q206" s="96"/>
      <c r="R206" s="96"/>
      <c r="S206" s="96"/>
      <c r="T206" s="96"/>
      <c r="U206" s="96"/>
      <c r="V206" s="96"/>
      <c r="W206" s="96"/>
      <c r="X206" s="96"/>
      <c r="Y206" s="96"/>
      <c r="Z206" s="96"/>
      <c r="AA206" s="96"/>
      <c r="AB206" s="96"/>
      <c r="AC206" s="96"/>
      <c r="AD206" s="96"/>
      <c r="AE206" s="96"/>
    </row>
    <row r="207">
      <c r="A207" s="97">
        <f t="shared" si="3"/>
        <v>203</v>
      </c>
      <c r="B207" s="89"/>
      <c r="C207" s="89"/>
      <c r="D207" s="89"/>
      <c r="E207" s="89"/>
      <c r="F207" s="89"/>
      <c r="G207" s="89"/>
      <c r="H207" s="89"/>
      <c r="I207" s="89"/>
      <c r="J207" s="89"/>
      <c r="K207" s="89"/>
      <c r="L207" s="96"/>
      <c r="M207" s="96"/>
      <c r="N207" s="96"/>
      <c r="O207" s="96"/>
      <c r="P207" s="96"/>
      <c r="Q207" s="96"/>
      <c r="R207" s="96"/>
      <c r="S207" s="96"/>
      <c r="T207" s="96"/>
      <c r="U207" s="96"/>
      <c r="V207" s="96"/>
      <c r="W207" s="96"/>
      <c r="X207" s="96"/>
      <c r="Y207" s="96"/>
      <c r="Z207" s="96"/>
      <c r="AA207" s="96"/>
      <c r="AB207" s="96"/>
      <c r="AC207" s="96"/>
      <c r="AD207" s="96"/>
      <c r="AE207" s="96"/>
    </row>
    <row r="208">
      <c r="A208" s="97">
        <f t="shared" si="3"/>
        <v>204</v>
      </c>
      <c r="B208" s="89"/>
      <c r="C208" s="89"/>
      <c r="D208" s="89"/>
      <c r="E208" s="89"/>
      <c r="F208" s="89"/>
      <c r="G208" s="89"/>
      <c r="H208" s="89"/>
      <c r="I208" s="89"/>
      <c r="J208" s="89"/>
      <c r="K208" s="89"/>
      <c r="L208" s="96"/>
      <c r="M208" s="96"/>
      <c r="N208" s="96"/>
      <c r="O208" s="96"/>
      <c r="P208" s="96"/>
      <c r="Q208" s="96"/>
      <c r="R208" s="96"/>
      <c r="S208" s="96"/>
      <c r="T208" s="96"/>
      <c r="U208" s="96"/>
      <c r="V208" s="96"/>
      <c r="W208" s="96"/>
      <c r="X208" s="96"/>
      <c r="Y208" s="96"/>
      <c r="Z208" s="96"/>
      <c r="AA208" s="96"/>
      <c r="AB208" s="96"/>
      <c r="AC208" s="96"/>
      <c r="AD208" s="96"/>
      <c r="AE208" s="96"/>
    </row>
    <row r="209">
      <c r="A209" s="97">
        <f t="shared" si="3"/>
        <v>205</v>
      </c>
      <c r="B209" s="89"/>
      <c r="C209" s="89"/>
      <c r="D209" s="89"/>
      <c r="E209" s="89"/>
      <c r="F209" s="89"/>
      <c r="G209" s="89"/>
      <c r="H209" s="89"/>
      <c r="I209" s="89"/>
      <c r="J209" s="89"/>
      <c r="K209" s="89"/>
      <c r="L209" s="96"/>
      <c r="M209" s="96"/>
      <c r="N209" s="96"/>
      <c r="O209" s="96"/>
      <c r="P209" s="96"/>
      <c r="Q209" s="96"/>
      <c r="R209" s="96"/>
      <c r="S209" s="96"/>
      <c r="T209" s="96"/>
      <c r="U209" s="96"/>
      <c r="V209" s="96"/>
      <c r="W209" s="96"/>
      <c r="X209" s="96"/>
      <c r="Y209" s="96"/>
      <c r="Z209" s="96"/>
      <c r="AA209" s="96"/>
      <c r="AB209" s="96"/>
      <c r="AC209" s="96"/>
      <c r="AD209" s="96"/>
      <c r="AE209" s="96"/>
    </row>
    <row r="210">
      <c r="A210" s="97">
        <f t="shared" si="3"/>
        <v>206</v>
      </c>
      <c r="B210" s="89"/>
      <c r="C210" s="89"/>
      <c r="D210" s="89"/>
      <c r="E210" s="89"/>
      <c r="F210" s="89"/>
      <c r="G210" s="89"/>
      <c r="H210" s="89"/>
      <c r="I210" s="89"/>
      <c r="J210" s="89"/>
      <c r="K210" s="89"/>
      <c r="L210" s="96"/>
      <c r="M210" s="96"/>
      <c r="N210" s="96"/>
      <c r="O210" s="96"/>
      <c r="P210" s="96"/>
      <c r="Q210" s="96"/>
      <c r="R210" s="96"/>
      <c r="S210" s="96"/>
      <c r="T210" s="96"/>
      <c r="U210" s="96"/>
      <c r="V210" s="96"/>
      <c r="W210" s="96"/>
      <c r="X210" s="96"/>
      <c r="Y210" s="96"/>
      <c r="Z210" s="96"/>
      <c r="AA210" s="96"/>
      <c r="AB210" s="96"/>
      <c r="AC210" s="96"/>
      <c r="AD210" s="96"/>
      <c r="AE210" s="96"/>
    </row>
    <row r="211">
      <c r="A211" s="97">
        <f t="shared" si="3"/>
        <v>207</v>
      </c>
      <c r="B211" s="89"/>
      <c r="C211" s="89"/>
      <c r="D211" s="89"/>
      <c r="E211" s="89"/>
      <c r="F211" s="89"/>
      <c r="G211" s="89"/>
      <c r="H211" s="89"/>
      <c r="I211" s="89"/>
      <c r="J211" s="89"/>
      <c r="K211" s="89"/>
      <c r="L211" s="96"/>
      <c r="M211" s="96"/>
      <c r="N211" s="96"/>
      <c r="O211" s="96"/>
      <c r="P211" s="96"/>
      <c r="Q211" s="96"/>
      <c r="R211" s="96"/>
      <c r="S211" s="96"/>
      <c r="T211" s="96"/>
      <c r="U211" s="96"/>
      <c r="V211" s="96"/>
      <c r="W211" s="96"/>
      <c r="X211" s="96"/>
      <c r="Y211" s="96"/>
      <c r="Z211" s="96"/>
      <c r="AA211" s="96"/>
      <c r="AB211" s="96"/>
      <c r="AC211" s="96"/>
      <c r="AD211" s="96"/>
      <c r="AE211" s="96"/>
    </row>
    <row r="212">
      <c r="A212" s="97">
        <f t="shared" si="3"/>
        <v>208</v>
      </c>
      <c r="B212" s="89"/>
      <c r="C212" s="89"/>
      <c r="D212" s="89"/>
      <c r="E212" s="89"/>
      <c r="F212" s="89"/>
      <c r="G212" s="89"/>
      <c r="H212" s="89"/>
      <c r="I212" s="89"/>
      <c r="J212" s="89"/>
      <c r="K212" s="89"/>
      <c r="L212" s="96"/>
      <c r="M212" s="96"/>
      <c r="N212" s="96"/>
      <c r="O212" s="96"/>
      <c r="P212" s="96"/>
      <c r="Q212" s="96"/>
      <c r="R212" s="96"/>
      <c r="S212" s="96"/>
      <c r="T212" s="96"/>
      <c r="U212" s="96"/>
      <c r="V212" s="96"/>
      <c r="W212" s="96"/>
      <c r="X212" s="96"/>
      <c r="Y212" s="96"/>
      <c r="Z212" s="96"/>
      <c r="AA212" s="96"/>
      <c r="AB212" s="96"/>
      <c r="AC212" s="96"/>
      <c r="AD212" s="96"/>
      <c r="AE212" s="96"/>
    </row>
    <row r="213">
      <c r="A213" s="97">
        <f t="shared" si="3"/>
        <v>209</v>
      </c>
      <c r="B213" s="89"/>
      <c r="C213" s="89"/>
      <c r="D213" s="89"/>
      <c r="E213" s="89"/>
      <c r="F213" s="89"/>
      <c r="G213" s="89"/>
      <c r="H213" s="89"/>
      <c r="I213" s="89"/>
      <c r="J213" s="89"/>
      <c r="K213" s="89"/>
      <c r="L213" s="96"/>
      <c r="M213" s="96"/>
      <c r="N213" s="96"/>
      <c r="O213" s="96"/>
      <c r="P213" s="96"/>
      <c r="Q213" s="96"/>
      <c r="R213" s="96"/>
      <c r="S213" s="96"/>
      <c r="T213" s="96"/>
      <c r="U213" s="96"/>
      <c r="V213" s="96"/>
      <c r="W213" s="96"/>
      <c r="X213" s="96"/>
      <c r="Y213" s="96"/>
      <c r="Z213" s="96"/>
      <c r="AA213" s="96"/>
      <c r="AB213" s="96"/>
      <c r="AC213" s="96"/>
      <c r="AD213" s="96"/>
      <c r="AE213" s="96"/>
    </row>
    <row r="214">
      <c r="A214" s="97">
        <f t="shared" si="3"/>
        <v>210</v>
      </c>
      <c r="B214" s="89"/>
      <c r="C214" s="89"/>
      <c r="D214" s="89"/>
      <c r="E214" s="89"/>
      <c r="F214" s="89"/>
      <c r="G214" s="89"/>
      <c r="H214" s="89"/>
      <c r="I214" s="89"/>
      <c r="J214" s="89"/>
      <c r="K214" s="89"/>
      <c r="L214" s="96"/>
      <c r="M214" s="96"/>
      <c r="N214" s="96"/>
      <c r="O214" s="96"/>
      <c r="P214" s="96"/>
      <c r="Q214" s="96"/>
      <c r="R214" s="96"/>
      <c r="S214" s="96"/>
      <c r="T214" s="96"/>
      <c r="U214" s="96"/>
      <c r="V214" s="96"/>
      <c r="W214" s="96"/>
      <c r="X214" s="96"/>
      <c r="Y214" s="96"/>
      <c r="Z214" s="96"/>
      <c r="AA214" s="96"/>
      <c r="AB214" s="96"/>
      <c r="AC214" s="96"/>
      <c r="AD214" s="96"/>
      <c r="AE214" s="96"/>
    </row>
    <row r="215">
      <c r="A215" s="97">
        <f t="shared" si="3"/>
        <v>211</v>
      </c>
      <c r="B215" s="89"/>
      <c r="C215" s="89"/>
      <c r="D215" s="89"/>
      <c r="E215" s="89"/>
      <c r="F215" s="89"/>
      <c r="G215" s="89"/>
      <c r="H215" s="89"/>
      <c r="I215" s="89"/>
      <c r="J215" s="89"/>
      <c r="K215" s="89"/>
      <c r="L215" s="96"/>
      <c r="M215" s="96"/>
      <c r="N215" s="96"/>
      <c r="O215" s="96"/>
      <c r="P215" s="96"/>
      <c r="Q215" s="96"/>
      <c r="R215" s="96"/>
      <c r="S215" s="96"/>
      <c r="T215" s="96"/>
      <c r="U215" s="96"/>
      <c r="V215" s="96"/>
      <c r="W215" s="96"/>
      <c r="X215" s="96"/>
      <c r="Y215" s="96"/>
      <c r="Z215" s="96"/>
      <c r="AA215" s="96"/>
      <c r="AB215" s="96"/>
      <c r="AC215" s="96"/>
      <c r="AD215" s="96"/>
      <c r="AE215" s="96"/>
    </row>
    <row r="216">
      <c r="A216" s="97">
        <f t="shared" si="3"/>
        <v>212</v>
      </c>
      <c r="B216" s="89"/>
      <c r="C216" s="89"/>
      <c r="D216" s="89"/>
      <c r="E216" s="89"/>
      <c r="F216" s="89"/>
      <c r="G216" s="89"/>
      <c r="H216" s="89"/>
      <c r="I216" s="89"/>
      <c r="J216" s="89"/>
      <c r="K216" s="89"/>
      <c r="L216" s="96"/>
      <c r="M216" s="96"/>
      <c r="N216" s="96"/>
      <c r="O216" s="96"/>
      <c r="P216" s="96"/>
      <c r="Q216" s="96"/>
      <c r="R216" s="96"/>
      <c r="S216" s="96"/>
      <c r="T216" s="96"/>
      <c r="U216" s="96"/>
      <c r="V216" s="96"/>
      <c r="W216" s="96"/>
      <c r="X216" s="96"/>
      <c r="Y216" s="96"/>
      <c r="Z216" s="96"/>
      <c r="AA216" s="96"/>
      <c r="AB216" s="96"/>
      <c r="AC216" s="96"/>
      <c r="AD216" s="96"/>
      <c r="AE216" s="96"/>
    </row>
    <row r="217">
      <c r="A217" s="97">
        <f t="shared" si="3"/>
        <v>213</v>
      </c>
      <c r="B217" s="89"/>
      <c r="C217" s="89"/>
      <c r="D217" s="89"/>
      <c r="E217" s="89"/>
      <c r="F217" s="89"/>
      <c r="G217" s="89"/>
      <c r="H217" s="89"/>
      <c r="I217" s="89"/>
      <c r="J217" s="89"/>
      <c r="K217" s="89"/>
      <c r="L217" s="96"/>
      <c r="M217" s="96"/>
      <c r="N217" s="96"/>
      <c r="O217" s="96"/>
      <c r="P217" s="96"/>
      <c r="Q217" s="96"/>
      <c r="R217" s="96"/>
      <c r="S217" s="96"/>
      <c r="T217" s="96"/>
      <c r="U217" s="96"/>
      <c r="V217" s="96"/>
      <c r="W217" s="96"/>
      <c r="X217" s="96"/>
      <c r="Y217" s="96"/>
      <c r="Z217" s="96"/>
      <c r="AA217" s="96"/>
      <c r="AB217" s="96"/>
      <c r="AC217" s="96"/>
      <c r="AD217" s="96"/>
      <c r="AE217" s="96"/>
    </row>
    <row r="218">
      <c r="A218" s="97">
        <f t="shared" si="3"/>
        <v>214</v>
      </c>
      <c r="B218" s="89"/>
      <c r="C218" s="89"/>
      <c r="D218" s="89"/>
      <c r="E218" s="89"/>
      <c r="F218" s="89"/>
      <c r="G218" s="89"/>
      <c r="H218" s="89"/>
      <c r="I218" s="89"/>
      <c r="J218" s="89"/>
      <c r="K218" s="89"/>
      <c r="L218" s="96"/>
      <c r="M218" s="96"/>
      <c r="N218" s="96"/>
      <c r="O218" s="96"/>
      <c r="P218" s="96"/>
      <c r="Q218" s="96"/>
      <c r="R218" s="96"/>
      <c r="S218" s="96"/>
      <c r="T218" s="96"/>
      <c r="U218" s="96"/>
      <c r="V218" s="96"/>
      <c r="W218" s="96"/>
      <c r="X218" s="96"/>
      <c r="Y218" s="96"/>
      <c r="Z218" s="96"/>
      <c r="AA218" s="96"/>
      <c r="AB218" s="96"/>
      <c r="AC218" s="96"/>
      <c r="AD218" s="96"/>
      <c r="AE218" s="96"/>
    </row>
    <row r="219">
      <c r="A219" s="97">
        <f t="shared" si="3"/>
        <v>215</v>
      </c>
      <c r="B219" s="89"/>
      <c r="C219" s="89"/>
      <c r="D219" s="89"/>
      <c r="E219" s="89"/>
      <c r="F219" s="89"/>
      <c r="G219" s="89"/>
      <c r="H219" s="89"/>
      <c r="I219" s="89"/>
      <c r="J219" s="89"/>
      <c r="K219" s="89"/>
      <c r="L219" s="96"/>
      <c r="M219" s="96"/>
      <c r="N219" s="96"/>
      <c r="O219" s="96"/>
      <c r="P219" s="96"/>
      <c r="Q219" s="96"/>
      <c r="R219" s="96"/>
      <c r="S219" s="96"/>
      <c r="T219" s="96"/>
      <c r="U219" s="96"/>
      <c r="V219" s="96"/>
      <c r="W219" s="96"/>
      <c r="X219" s="96"/>
      <c r="Y219" s="96"/>
      <c r="Z219" s="96"/>
      <c r="AA219" s="96"/>
      <c r="AB219" s="96"/>
      <c r="AC219" s="96"/>
      <c r="AD219" s="96"/>
      <c r="AE219" s="96"/>
    </row>
    <row r="220">
      <c r="A220" s="97">
        <f t="shared" si="3"/>
        <v>216</v>
      </c>
      <c r="B220" s="89"/>
      <c r="C220" s="89"/>
      <c r="D220" s="89"/>
      <c r="E220" s="89"/>
      <c r="F220" s="89"/>
      <c r="G220" s="89"/>
      <c r="H220" s="89"/>
      <c r="I220" s="89"/>
      <c r="J220" s="89"/>
      <c r="K220" s="89"/>
      <c r="L220" s="96"/>
      <c r="M220" s="96"/>
      <c r="N220" s="96"/>
      <c r="O220" s="96"/>
      <c r="P220" s="96"/>
      <c r="Q220" s="96"/>
      <c r="R220" s="96"/>
      <c r="S220" s="96"/>
      <c r="T220" s="96"/>
      <c r="U220" s="96"/>
      <c r="V220" s="96"/>
      <c r="W220" s="96"/>
      <c r="X220" s="96"/>
      <c r="Y220" s="96"/>
      <c r="Z220" s="96"/>
      <c r="AA220" s="96"/>
      <c r="AB220" s="96"/>
      <c r="AC220" s="96"/>
      <c r="AD220" s="96"/>
      <c r="AE220" s="96"/>
    </row>
    <row r="221">
      <c r="A221" s="97">
        <f t="shared" si="3"/>
        <v>217</v>
      </c>
      <c r="B221" s="89"/>
      <c r="C221" s="89"/>
      <c r="D221" s="89"/>
      <c r="E221" s="89"/>
      <c r="F221" s="89"/>
      <c r="G221" s="89"/>
      <c r="H221" s="89"/>
      <c r="I221" s="89"/>
      <c r="J221" s="89"/>
      <c r="K221" s="89"/>
      <c r="L221" s="96"/>
      <c r="M221" s="96"/>
      <c r="N221" s="96"/>
      <c r="O221" s="96"/>
      <c r="P221" s="96"/>
      <c r="Q221" s="96"/>
      <c r="R221" s="96"/>
      <c r="S221" s="96"/>
      <c r="T221" s="96"/>
      <c r="U221" s="96"/>
      <c r="V221" s="96"/>
      <c r="W221" s="96"/>
      <c r="X221" s="96"/>
      <c r="Y221" s="96"/>
      <c r="Z221" s="96"/>
      <c r="AA221" s="96"/>
      <c r="AB221" s="96"/>
      <c r="AC221" s="96"/>
      <c r="AD221" s="96"/>
      <c r="AE221" s="96"/>
    </row>
    <row r="222">
      <c r="A222" s="97">
        <f t="shared" si="3"/>
        <v>218</v>
      </c>
      <c r="B222" s="89"/>
      <c r="C222" s="89"/>
      <c r="D222" s="89"/>
      <c r="E222" s="89"/>
      <c r="F222" s="89"/>
      <c r="G222" s="89"/>
      <c r="H222" s="89"/>
      <c r="I222" s="89"/>
      <c r="J222" s="89"/>
      <c r="K222" s="89"/>
      <c r="L222" s="96"/>
      <c r="M222" s="96"/>
      <c r="N222" s="96"/>
      <c r="O222" s="96"/>
      <c r="P222" s="96"/>
      <c r="Q222" s="96"/>
      <c r="R222" s="96"/>
      <c r="S222" s="96"/>
      <c r="T222" s="96"/>
      <c r="U222" s="96"/>
      <c r="V222" s="96"/>
      <c r="W222" s="96"/>
      <c r="X222" s="96"/>
      <c r="Y222" s="96"/>
      <c r="Z222" s="96"/>
      <c r="AA222" s="96"/>
      <c r="AB222" s="96"/>
      <c r="AC222" s="96"/>
      <c r="AD222" s="96"/>
      <c r="AE222" s="96"/>
    </row>
    <row r="223">
      <c r="A223" s="97">
        <f t="shared" si="3"/>
        <v>219</v>
      </c>
      <c r="B223" s="89"/>
      <c r="C223" s="89"/>
      <c r="D223" s="89"/>
      <c r="E223" s="89"/>
      <c r="F223" s="89"/>
      <c r="G223" s="89"/>
      <c r="H223" s="89"/>
      <c r="I223" s="89"/>
      <c r="J223" s="89"/>
      <c r="K223" s="89"/>
      <c r="L223" s="96"/>
      <c r="M223" s="96"/>
      <c r="N223" s="96"/>
      <c r="O223" s="96"/>
      <c r="P223" s="96"/>
      <c r="Q223" s="96"/>
      <c r="R223" s="96"/>
      <c r="S223" s="96"/>
      <c r="T223" s="96"/>
      <c r="U223" s="96"/>
      <c r="V223" s="96"/>
      <c r="W223" s="96"/>
      <c r="X223" s="96"/>
      <c r="Y223" s="96"/>
      <c r="Z223" s="96"/>
      <c r="AA223" s="96"/>
      <c r="AB223" s="96"/>
      <c r="AC223" s="96"/>
      <c r="AD223" s="96"/>
      <c r="AE223" s="96"/>
    </row>
    <row r="224">
      <c r="A224" s="97">
        <f t="shared" si="3"/>
        <v>220</v>
      </c>
      <c r="B224" s="89"/>
      <c r="C224" s="89"/>
      <c r="D224" s="89"/>
      <c r="E224" s="89"/>
      <c r="F224" s="89"/>
      <c r="G224" s="89"/>
      <c r="H224" s="89"/>
      <c r="I224" s="89"/>
      <c r="J224" s="89"/>
      <c r="K224" s="89"/>
      <c r="L224" s="96"/>
      <c r="M224" s="96"/>
      <c r="N224" s="96"/>
      <c r="O224" s="96"/>
      <c r="P224" s="96"/>
      <c r="Q224" s="96"/>
      <c r="R224" s="96"/>
      <c r="S224" s="96"/>
      <c r="T224" s="96"/>
      <c r="U224" s="96"/>
      <c r="V224" s="96"/>
      <c r="W224" s="96"/>
      <c r="X224" s="96"/>
      <c r="Y224" s="96"/>
      <c r="Z224" s="96"/>
      <c r="AA224" s="96"/>
      <c r="AB224" s="96"/>
      <c r="AC224" s="96"/>
      <c r="AD224" s="96"/>
      <c r="AE224" s="96"/>
    </row>
    <row r="225">
      <c r="A225" s="97">
        <f t="shared" si="3"/>
        <v>221</v>
      </c>
      <c r="B225" s="89"/>
      <c r="C225" s="89"/>
      <c r="D225" s="89"/>
      <c r="E225" s="89"/>
      <c r="F225" s="89"/>
      <c r="G225" s="89"/>
      <c r="H225" s="89"/>
      <c r="I225" s="89"/>
      <c r="J225" s="89"/>
      <c r="K225" s="89"/>
      <c r="L225" s="96"/>
      <c r="M225" s="96"/>
      <c r="N225" s="96"/>
      <c r="O225" s="96"/>
      <c r="P225" s="96"/>
      <c r="Q225" s="96"/>
      <c r="R225" s="96"/>
      <c r="S225" s="96"/>
      <c r="T225" s="96"/>
      <c r="U225" s="96"/>
      <c r="V225" s="96"/>
      <c r="W225" s="96"/>
      <c r="X225" s="96"/>
      <c r="Y225" s="96"/>
      <c r="Z225" s="96"/>
      <c r="AA225" s="96"/>
      <c r="AB225" s="96"/>
      <c r="AC225" s="96"/>
      <c r="AD225" s="96"/>
      <c r="AE225" s="96"/>
    </row>
    <row r="226">
      <c r="A226" s="97">
        <f t="shared" si="3"/>
        <v>222</v>
      </c>
      <c r="B226" s="89"/>
      <c r="C226" s="89"/>
      <c r="D226" s="89"/>
      <c r="E226" s="89"/>
      <c r="F226" s="89"/>
      <c r="G226" s="89"/>
      <c r="H226" s="89"/>
      <c r="I226" s="89"/>
      <c r="J226" s="89"/>
      <c r="K226" s="89"/>
      <c r="L226" s="96"/>
      <c r="M226" s="96"/>
      <c r="N226" s="96"/>
      <c r="O226" s="96"/>
      <c r="P226" s="96"/>
      <c r="Q226" s="96"/>
      <c r="R226" s="96"/>
      <c r="S226" s="96"/>
      <c r="T226" s="96"/>
      <c r="U226" s="96"/>
      <c r="V226" s="96"/>
      <c r="W226" s="96"/>
      <c r="X226" s="96"/>
      <c r="Y226" s="96"/>
      <c r="Z226" s="96"/>
      <c r="AA226" s="96"/>
      <c r="AB226" s="96"/>
      <c r="AC226" s="96"/>
      <c r="AD226" s="96"/>
      <c r="AE226" s="96"/>
    </row>
    <row r="227">
      <c r="A227" s="97">
        <f t="shared" si="3"/>
        <v>223</v>
      </c>
      <c r="B227" s="89"/>
      <c r="C227" s="89"/>
      <c r="D227" s="89"/>
      <c r="E227" s="89"/>
      <c r="F227" s="89"/>
      <c r="G227" s="89"/>
      <c r="H227" s="89"/>
      <c r="I227" s="89"/>
      <c r="J227" s="89"/>
      <c r="K227" s="89"/>
      <c r="L227" s="96"/>
      <c r="M227" s="96"/>
      <c r="N227" s="96"/>
      <c r="O227" s="96"/>
      <c r="P227" s="96"/>
      <c r="Q227" s="96"/>
      <c r="R227" s="96"/>
      <c r="S227" s="96"/>
      <c r="T227" s="96"/>
      <c r="U227" s="96"/>
      <c r="V227" s="96"/>
      <c r="W227" s="96"/>
      <c r="X227" s="96"/>
      <c r="Y227" s="96"/>
      <c r="Z227" s="96"/>
      <c r="AA227" s="96"/>
      <c r="AB227" s="96"/>
      <c r="AC227" s="96"/>
      <c r="AD227" s="96"/>
      <c r="AE227" s="96"/>
    </row>
    <row r="228">
      <c r="A228" s="97">
        <f t="shared" si="3"/>
        <v>224</v>
      </c>
      <c r="B228" s="89"/>
      <c r="C228" s="89"/>
      <c r="D228" s="89"/>
      <c r="E228" s="89"/>
      <c r="F228" s="89"/>
      <c r="G228" s="89"/>
      <c r="H228" s="89"/>
      <c r="I228" s="89"/>
      <c r="J228" s="89"/>
      <c r="K228" s="89"/>
      <c r="L228" s="96"/>
      <c r="M228" s="96"/>
      <c r="N228" s="96"/>
      <c r="O228" s="96"/>
      <c r="P228" s="96"/>
      <c r="Q228" s="96"/>
      <c r="R228" s="96"/>
      <c r="S228" s="96"/>
      <c r="T228" s="96"/>
      <c r="U228" s="96"/>
      <c r="V228" s="96"/>
      <c r="W228" s="96"/>
      <c r="X228" s="96"/>
      <c r="Y228" s="96"/>
      <c r="Z228" s="96"/>
      <c r="AA228" s="96"/>
      <c r="AB228" s="96"/>
      <c r="AC228" s="96"/>
      <c r="AD228" s="96"/>
      <c r="AE228" s="96"/>
    </row>
    <row r="229">
      <c r="A229" s="97">
        <f t="shared" si="3"/>
        <v>225</v>
      </c>
      <c r="B229" s="89"/>
      <c r="C229" s="89"/>
      <c r="D229" s="89"/>
      <c r="E229" s="89"/>
      <c r="F229" s="89"/>
      <c r="G229" s="89"/>
      <c r="H229" s="89"/>
      <c r="I229" s="89"/>
      <c r="J229" s="89"/>
      <c r="K229" s="89"/>
      <c r="L229" s="96"/>
      <c r="M229" s="96"/>
      <c r="N229" s="96"/>
      <c r="O229" s="96"/>
      <c r="P229" s="96"/>
      <c r="Q229" s="96"/>
      <c r="R229" s="96"/>
      <c r="S229" s="96"/>
      <c r="T229" s="96"/>
      <c r="U229" s="96"/>
      <c r="V229" s="96"/>
      <c r="W229" s="96"/>
      <c r="X229" s="96"/>
      <c r="Y229" s="96"/>
      <c r="Z229" s="96"/>
      <c r="AA229" s="96"/>
      <c r="AB229" s="96"/>
      <c r="AC229" s="96"/>
      <c r="AD229" s="96"/>
      <c r="AE229" s="96"/>
    </row>
    <row r="230">
      <c r="A230" s="97">
        <f t="shared" si="3"/>
        <v>226</v>
      </c>
      <c r="B230" s="89"/>
      <c r="C230" s="89"/>
      <c r="D230" s="89"/>
      <c r="E230" s="89"/>
      <c r="F230" s="89"/>
      <c r="G230" s="89"/>
      <c r="H230" s="89"/>
      <c r="I230" s="89"/>
      <c r="J230" s="89"/>
      <c r="K230" s="89"/>
      <c r="L230" s="96"/>
      <c r="M230" s="96"/>
      <c r="N230" s="96"/>
      <c r="O230" s="96"/>
      <c r="P230" s="96"/>
      <c r="Q230" s="96"/>
      <c r="R230" s="96"/>
      <c r="S230" s="96"/>
      <c r="T230" s="96"/>
      <c r="U230" s="96"/>
      <c r="V230" s="96"/>
      <c r="W230" s="96"/>
      <c r="X230" s="96"/>
      <c r="Y230" s="96"/>
      <c r="Z230" s="96"/>
      <c r="AA230" s="96"/>
      <c r="AB230" s="96"/>
      <c r="AC230" s="96"/>
      <c r="AD230" s="96"/>
      <c r="AE230" s="96"/>
    </row>
    <row r="231">
      <c r="A231" s="97">
        <f t="shared" si="3"/>
        <v>227</v>
      </c>
      <c r="B231" s="89"/>
      <c r="C231" s="89"/>
      <c r="D231" s="89"/>
      <c r="E231" s="89"/>
      <c r="F231" s="89"/>
      <c r="G231" s="89"/>
      <c r="H231" s="89"/>
      <c r="I231" s="89"/>
      <c r="J231" s="89"/>
      <c r="K231" s="89"/>
      <c r="L231" s="96"/>
      <c r="M231" s="96"/>
      <c r="N231" s="96"/>
      <c r="O231" s="96"/>
      <c r="P231" s="96"/>
      <c r="Q231" s="96"/>
      <c r="R231" s="96"/>
      <c r="S231" s="96"/>
      <c r="T231" s="96"/>
      <c r="U231" s="96"/>
      <c r="V231" s="96"/>
      <c r="W231" s="96"/>
      <c r="X231" s="96"/>
      <c r="Y231" s="96"/>
      <c r="Z231" s="96"/>
      <c r="AA231" s="96"/>
      <c r="AB231" s="96"/>
      <c r="AC231" s="96"/>
      <c r="AD231" s="96"/>
      <c r="AE231" s="96"/>
    </row>
    <row r="232">
      <c r="A232" s="97">
        <f t="shared" si="3"/>
        <v>228</v>
      </c>
      <c r="B232" s="89"/>
      <c r="C232" s="89"/>
      <c r="D232" s="89"/>
      <c r="E232" s="89"/>
      <c r="F232" s="89"/>
      <c r="G232" s="89"/>
      <c r="H232" s="89"/>
      <c r="I232" s="89"/>
      <c r="J232" s="89"/>
      <c r="K232" s="89"/>
      <c r="L232" s="96"/>
      <c r="M232" s="96"/>
      <c r="N232" s="96"/>
      <c r="O232" s="96"/>
      <c r="P232" s="96"/>
      <c r="Q232" s="96"/>
      <c r="R232" s="96"/>
      <c r="S232" s="96"/>
      <c r="T232" s="96"/>
      <c r="U232" s="96"/>
      <c r="V232" s="96"/>
      <c r="W232" s="96"/>
      <c r="X232" s="96"/>
      <c r="Y232" s="96"/>
      <c r="Z232" s="96"/>
      <c r="AA232" s="96"/>
      <c r="AB232" s="96"/>
      <c r="AC232" s="96"/>
      <c r="AD232" s="96"/>
      <c r="AE232" s="96"/>
    </row>
    <row r="233">
      <c r="A233" s="97">
        <f t="shared" si="3"/>
        <v>229</v>
      </c>
      <c r="B233" s="89"/>
      <c r="C233" s="89"/>
      <c r="D233" s="89"/>
      <c r="E233" s="89"/>
      <c r="F233" s="89"/>
      <c r="G233" s="89"/>
      <c r="H233" s="89"/>
      <c r="I233" s="89"/>
      <c r="J233" s="89"/>
      <c r="K233" s="89"/>
      <c r="L233" s="96"/>
      <c r="M233" s="96"/>
      <c r="N233" s="96"/>
      <c r="O233" s="96"/>
      <c r="P233" s="96"/>
      <c r="Q233" s="96"/>
      <c r="R233" s="96"/>
      <c r="S233" s="96"/>
      <c r="T233" s="96"/>
      <c r="U233" s="96"/>
      <c r="V233" s="96"/>
      <c r="W233" s="96"/>
      <c r="X233" s="96"/>
      <c r="Y233" s="96"/>
      <c r="Z233" s="96"/>
      <c r="AA233" s="96"/>
      <c r="AB233" s="96"/>
      <c r="AC233" s="96"/>
      <c r="AD233" s="96"/>
      <c r="AE233" s="96"/>
    </row>
    <row r="234">
      <c r="A234" s="97">
        <f t="shared" si="3"/>
        <v>230</v>
      </c>
      <c r="B234" s="89"/>
      <c r="C234" s="89"/>
      <c r="D234" s="89"/>
      <c r="E234" s="89"/>
      <c r="F234" s="89"/>
      <c r="G234" s="89"/>
      <c r="H234" s="89"/>
      <c r="I234" s="89"/>
      <c r="J234" s="89"/>
      <c r="K234" s="89"/>
      <c r="L234" s="96"/>
      <c r="M234" s="96"/>
      <c r="N234" s="96"/>
      <c r="O234" s="96"/>
      <c r="P234" s="96"/>
      <c r="Q234" s="96"/>
      <c r="R234" s="96"/>
      <c r="S234" s="96"/>
      <c r="T234" s="96"/>
      <c r="U234" s="96"/>
      <c r="V234" s="96"/>
      <c r="W234" s="96"/>
      <c r="X234" s="96"/>
      <c r="Y234" s="96"/>
      <c r="Z234" s="96"/>
      <c r="AA234" s="96"/>
      <c r="AB234" s="96"/>
      <c r="AC234" s="96"/>
      <c r="AD234" s="96"/>
      <c r="AE234" s="96"/>
    </row>
    <row r="235">
      <c r="A235" s="97">
        <f t="shared" si="3"/>
        <v>231</v>
      </c>
      <c r="B235" s="89"/>
      <c r="C235" s="89"/>
      <c r="D235" s="89"/>
      <c r="E235" s="89"/>
      <c r="F235" s="89"/>
      <c r="G235" s="89"/>
      <c r="H235" s="89"/>
      <c r="I235" s="89"/>
      <c r="J235" s="89"/>
      <c r="K235" s="89"/>
      <c r="L235" s="96"/>
      <c r="M235" s="96"/>
      <c r="N235" s="96"/>
      <c r="O235" s="96"/>
      <c r="P235" s="96"/>
      <c r="Q235" s="96"/>
      <c r="R235" s="96"/>
      <c r="S235" s="96"/>
      <c r="T235" s="96"/>
      <c r="U235" s="96"/>
      <c r="V235" s="96"/>
      <c r="W235" s="96"/>
      <c r="X235" s="96"/>
      <c r="Y235" s="96"/>
      <c r="Z235" s="96"/>
      <c r="AA235" s="96"/>
      <c r="AB235" s="96"/>
      <c r="AC235" s="96"/>
      <c r="AD235" s="96"/>
      <c r="AE235" s="96"/>
    </row>
    <row r="236">
      <c r="A236" s="97">
        <f t="shared" si="3"/>
        <v>232</v>
      </c>
      <c r="B236" s="89"/>
      <c r="C236" s="89"/>
      <c r="D236" s="89"/>
      <c r="E236" s="89"/>
      <c r="F236" s="89"/>
      <c r="G236" s="89"/>
      <c r="H236" s="89"/>
      <c r="I236" s="89"/>
      <c r="J236" s="89"/>
      <c r="K236" s="89"/>
      <c r="L236" s="96"/>
      <c r="M236" s="96"/>
      <c r="N236" s="96"/>
      <c r="O236" s="96"/>
      <c r="P236" s="96"/>
      <c r="Q236" s="96"/>
      <c r="R236" s="96"/>
      <c r="S236" s="96"/>
      <c r="T236" s="96"/>
      <c r="U236" s="96"/>
      <c r="V236" s="96"/>
      <c r="W236" s="96"/>
      <c r="X236" s="96"/>
      <c r="Y236" s="96"/>
      <c r="Z236" s="96"/>
      <c r="AA236" s="96"/>
      <c r="AB236" s="96"/>
      <c r="AC236" s="96"/>
      <c r="AD236" s="96"/>
      <c r="AE236" s="96"/>
    </row>
    <row r="237">
      <c r="A237" s="97">
        <f t="shared" si="3"/>
        <v>233</v>
      </c>
      <c r="B237" s="89"/>
      <c r="C237" s="89"/>
      <c r="D237" s="89"/>
      <c r="E237" s="89"/>
      <c r="F237" s="89"/>
      <c r="G237" s="89"/>
      <c r="H237" s="89"/>
      <c r="I237" s="89"/>
      <c r="J237" s="89"/>
      <c r="K237" s="89"/>
      <c r="L237" s="96"/>
      <c r="M237" s="96"/>
      <c r="N237" s="96"/>
      <c r="O237" s="96"/>
      <c r="P237" s="96"/>
      <c r="Q237" s="96"/>
      <c r="R237" s="96"/>
      <c r="S237" s="96"/>
      <c r="T237" s="96"/>
      <c r="U237" s="96"/>
      <c r="V237" s="96"/>
      <c r="W237" s="96"/>
      <c r="X237" s="96"/>
      <c r="Y237" s="96"/>
      <c r="Z237" s="96"/>
      <c r="AA237" s="96"/>
      <c r="AB237" s="96"/>
      <c r="AC237" s="96"/>
      <c r="AD237" s="96"/>
      <c r="AE237" s="96"/>
    </row>
    <row r="238">
      <c r="A238" s="97">
        <f t="shared" si="3"/>
        <v>234</v>
      </c>
      <c r="B238" s="89"/>
      <c r="C238" s="89"/>
      <c r="D238" s="89"/>
      <c r="E238" s="89"/>
      <c r="F238" s="89"/>
      <c r="G238" s="89"/>
      <c r="H238" s="89"/>
      <c r="I238" s="89"/>
      <c r="J238" s="89"/>
      <c r="K238" s="89"/>
      <c r="L238" s="96"/>
      <c r="M238" s="96"/>
      <c r="N238" s="96"/>
      <c r="O238" s="96"/>
      <c r="P238" s="96"/>
      <c r="Q238" s="96"/>
      <c r="R238" s="96"/>
      <c r="S238" s="96"/>
      <c r="T238" s="96"/>
      <c r="U238" s="96"/>
      <c r="V238" s="96"/>
      <c r="W238" s="96"/>
      <c r="X238" s="96"/>
      <c r="Y238" s="96"/>
      <c r="Z238" s="96"/>
      <c r="AA238" s="96"/>
      <c r="AB238" s="96"/>
      <c r="AC238" s="96"/>
      <c r="AD238" s="96"/>
      <c r="AE238" s="96"/>
    </row>
    <row r="239">
      <c r="A239" s="97">
        <f t="shared" si="3"/>
        <v>235</v>
      </c>
      <c r="B239" s="89"/>
      <c r="C239" s="89"/>
      <c r="D239" s="89"/>
      <c r="E239" s="89"/>
      <c r="F239" s="89"/>
      <c r="G239" s="89"/>
      <c r="H239" s="89"/>
      <c r="I239" s="89"/>
      <c r="J239" s="89"/>
      <c r="K239" s="89"/>
      <c r="L239" s="96"/>
      <c r="M239" s="96"/>
      <c r="N239" s="96"/>
      <c r="O239" s="96"/>
      <c r="P239" s="96"/>
      <c r="Q239" s="96"/>
      <c r="R239" s="96"/>
      <c r="S239" s="96"/>
      <c r="T239" s="96"/>
      <c r="U239" s="96"/>
      <c r="V239" s="96"/>
      <c r="W239" s="96"/>
      <c r="X239" s="96"/>
      <c r="Y239" s="96"/>
      <c r="Z239" s="96"/>
      <c r="AA239" s="96"/>
      <c r="AB239" s="96"/>
      <c r="AC239" s="96"/>
      <c r="AD239" s="96"/>
      <c r="AE239" s="96"/>
    </row>
    <row r="240">
      <c r="A240" s="97">
        <f t="shared" si="3"/>
        <v>236</v>
      </c>
      <c r="B240" s="89"/>
      <c r="C240" s="89"/>
      <c r="D240" s="89"/>
      <c r="E240" s="89"/>
      <c r="F240" s="89"/>
      <c r="G240" s="89"/>
      <c r="H240" s="89"/>
      <c r="I240" s="89"/>
      <c r="J240" s="89"/>
      <c r="K240" s="89"/>
      <c r="L240" s="96"/>
      <c r="M240" s="96"/>
      <c r="N240" s="96"/>
      <c r="O240" s="96"/>
      <c r="P240" s="96"/>
      <c r="Q240" s="96"/>
      <c r="R240" s="96"/>
      <c r="S240" s="96"/>
      <c r="T240" s="96"/>
      <c r="U240" s="96"/>
      <c r="V240" s="96"/>
      <c r="W240" s="96"/>
      <c r="X240" s="96"/>
      <c r="Y240" s="96"/>
      <c r="Z240" s="96"/>
      <c r="AA240" s="96"/>
      <c r="AB240" s="96"/>
      <c r="AC240" s="96"/>
      <c r="AD240" s="96"/>
      <c r="AE240" s="96"/>
    </row>
    <row r="241">
      <c r="A241" s="97">
        <f t="shared" si="3"/>
        <v>237</v>
      </c>
      <c r="B241" s="89"/>
      <c r="C241" s="89"/>
      <c r="D241" s="89"/>
      <c r="E241" s="89"/>
      <c r="F241" s="89"/>
      <c r="G241" s="89"/>
      <c r="H241" s="89"/>
      <c r="I241" s="89"/>
      <c r="J241" s="89"/>
      <c r="K241" s="89"/>
      <c r="L241" s="96"/>
      <c r="M241" s="96"/>
      <c r="N241" s="96"/>
      <c r="O241" s="96"/>
      <c r="P241" s="96"/>
      <c r="Q241" s="96"/>
      <c r="R241" s="96"/>
      <c r="S241" s="96"/>
      <c r="T241" s="96"/>
      <c r="U241" s="96"/>
      <c r="V241" s="96"/>
      <c r="W241" s="96"/>
      <c r="X241" s="96"/>
      <c r="Y241" s="96"/>
      <c r="Z241" s="96"/>
      <c r="AA241" s="96"/>
      <c r="AB241" s="96"/>
      <c r="AC241" s="96"/>
      <c r="AD241" s="96"/>
      <c r="AE241" s="96"/>
    </row>
    <row r="242">
      <c r="A242" s="97">
        <f t="shared" si="3"/>
        <v>238</v>
      </c>
      <c r="B242" s="89"/>
      <c r="C242" s="89"/>
      <c r="D242" s="89"/>
      <c r="E242" s="89"/>
      <c r="F242" s="89"/>
      <c r="G242" s="89"/>
      <c r="H242" s="89"/>
      <c r="I242" s="89"/>
      <c r="J242" s="89"/>
      <c r="K242" s="89"/>
      <c r="L242" s="96"/>
      <c r="M242" s="96"/>
      <c r="N242" s="96"/>
      <c r="O242" s="96"/>
      <c r="P242" s="96"/>
      <c r="Q242" s="96"/>
      <c r="R242" s="96"/>
      <c r="S242" s="96"/>
      <c r="T242" s="96"/>
      <c r="U242" s="96"/>
      <c r="V242" s="96"/>
      <c r="W242" s="96"/>
      <c r="X242" s="96"/>
      <c r="Y242" s="96"/>
      <c r="Z242" s="96"/>
      <c r="AA242" s="96"/>
      <c r="AB242" s="96"/>
      <c r="AC242" s="96"/>
      <c r="AD242" s="96"/>
      <c r="AE242" s="96"/>
    </row>
    <row r="243">
      <c r="A243" s="97">
        <f t="shared" si="3"/>
        <v>239</v>
      </c>
      <c r="B243" s="89"/>
      <c r="C243" s="89"/>
      <c r="D243" s="89"/>
      <c r="E243" s="89"/>
      <c r="F243" s="89"/>
      <c r="G243" s="89"/>
      <c r="H243" s="89"/>
      <c r="I243" s="89"/>
      <c r="J243" s="89"/>
      <c r="K243" s="89"/>
      <c r="L243" s="96"/>
      <c r="M243" s="96"/>
      <c r="N243" s="96"/>
      <c r="O243" s="96"/>
      <c r="P243" s="96"/>
      <c r="Q243" s="96"/>
      <c r="R243" s="96"/>
      <c r="S243" s="96"/>
      <c r="T243" s="96"/>
      <c r="U243" s="96"/>
      <c r="V243" s="96"/>
      <c r="W243" s="96"/>
      <c r="X243" s="96"/>
      <c r="Y243" s="96"/>
      <c r="Z243" s="96"/>
      <c r="AA243" s="96"/>
      <c r="AB243" s="96"/>
      <c r="AC243" s="96"/>
      <c r="AD243" s="96"/>
      <c r="AE243" s="96"/>
    </row>
    <row r="244">
      <c r="A244" s="97">
        <f t="shared" si="3"/>
        <v>240</v>
      </c>
      <c r="B244" s="89"/>
      <c r="C244" s="89"/>
      <c r="D244" s="89"/>
      <c r="E244" s="89"/>
      <c r="F244" s="89"/>
      <c r="G244" s="89"/>
      <c r="H244" s="89"/>
      <c r="I244" s="89"/>
      <c r="J244" s="89"/>
      <c r="K244" s="89"/>
      <c r="L244" s="96"/>
      <c r="M244" s="96"/>
      <c r="N244" s="96"/>
      <c r="O244" s="96"/>
      <c r="P244" s="96"/>
      <c r="Q244" s="96"/>
      <c r="R244" s="96"/>
      <c r="S244" s="96"/>
      <c r="T244" s="96"/>
      <c r="U244" s="96"/>
      <c r="V244" s="96"/>
      <c r="W244" s="96"/>
      <c r="X244" s="96"/>
      <c r="Y244" s="96"/>
      <c r="Z244" s="96"/>
      <c r="AA244" s="96"/>
      <c r="AB244" s="96"/>
      <c r="AC244" s="96"/>
      <c r="AD244" s="96"/>
      <c r="AE244" s="96"/>
    </row>
    <row r="245">
      <c r="A245" s="97">
        <f t="shared" si="3"/>
        <v>241</v>
      </c>
      <c r="B245" s="89"/>
      <c r="C245" s="89"/>
      <c r="D245" s="89"/>
      <c r="E245" s="89"/>
      <c r="F245" s="89"/>
      <c r="G245" s="89"/>
      <c r="H245" s="89"/>
      <c r="I245" s="89"/>
      <c r="J245" s="89"/>
      <c r="K245" s="89"/>
      <c r="L245" s="96"/>
      <c r="M245" s="96"/>
      <c r="N245" s="96"/>
      <c r="O245" s="96"/>
      <c r="P245" s="96"/>
      <c r="Q245" s="96"/>
      <c r="R245" s="96"/>
      <c r="S245" s="96"/>
      <c r="T245" s="96"/>
      <c r="U245" s="96"/>
      <c r="V245" s="96"/>
      <c r="W245" s="96"/>
      <c r="X245" s="96"/>
      <c r="Y245" s="96"/>
      <c r="Z245" s="96"/>
      <c r="AA245" s="96"/>
      <c r="AB245" s="96"/>
      <c r="AC245" s="96"/>
      <c r="AD245" s="96"/>
      <c r="AE245" s="96"/>
    </row>
    <row r="246">
      <c r="A246" s="97">
        <f t="shared" si="3"/>
        <v>242</v>
      </c>
      <c r="B246" s="89"/>
      <c r="C246" s="89"/>
      <c r="D246" s="89"/>
      <c r="E246" s="89"/>
      <c r="F246" s="89"/>
      <c r="G246" s="89"/>
      <c r="H246" s="89"/>
      <c r="I246" s="89"/>
      <c r="J246" s="89"/>
      <c r="K246" s="89"/>
      <c r="L246" s="96"/>
      <c r="M246" s="96"/>
      <c r="N246" s="96"/>
      <c r="O246" s="96"/>
      <c r="P246" s="96"/>
      <c r="Q246" s="96"/>
      <c r="R246" s="96"/>
      <c r="S246" s="96"/>
      <c r="T246" s="96"/>
      <c r="U246" s="96"/>
      <c r="V246" s="96"/>
      <c r="W246" s="96"/>
      <c r="X246" s="96"/>
      <c r="Y246" s="96"/>
      <c r="Z246" s="96"/>
      <c r="AA246" s="96"/>
      <c r="AB246" s="96"/>
      <c r="AC246" s="96"/>
      <c r="AD246" s="96"/>
      <c r="AE246" s="96"/>
    </row>
    <row r="247">
      <c r="A247" s="97">
        <f t="shared" si="3"/>
        <v>243</v>
      </c>
      <c r="B247" s="89"/>
      <c r="C247" s="89"/>
      <c r="D247" s="89"/>
      <c r="E247" s="89"/>
      <c r="F247" s="89"/>
      <c r="G247" s="89"/>
      <c r="H247" s="89"/>
      <c r="I247" s="89"/>
      <c r="J247" s="89"/>
      <c r="K247" s="89"/>
      <c r="L247" s="96"/>
      <c r="M247" s="96"/>
      <c r="N247" s="96"/>
      <c r="O247" s="96"/>
      <c r="P247" s="96"/>
      <c r="Q247" s="96"/>
      <c r="R247" s="96"/>
      <c r="S247" s="96"/>
      <c r="T247" s="96"/>
      <c r="U247" s="96"/>
      <c r="V247" s="96"/>
      <c r="W247" s="96"/>
      <c r="X247" s="96"/>
      <c r="Y247" s="96"/>
      <c r="Z247" s="96"/>
      <c r="AA247" s="96"/>
      <c r="AB247" s="96"/>
      <c r="AC247" s="96"/>
      <c r="AD247" s="96"/>
      <c r="AE247" s="96"/>
    </row>
    <row r="248">
      <c r="A248" s="97">
        <f t="shared" si="3"/>
        <v>244</v>
      </c>
      <c r="B248" s="89"/>
      <c r="C248" s="89"/>
      <c r="D248" s="89"/>
      <c r="E248" s="89"/>
      <c r="F248" s="89"/>
      <c r="G248" s="89"/>
      <c r="H248" s="89"/>
      <c r="I248" s="89"/>
      <c r="J248" s="89"/>
      <c r="K248" s="89"/>
      <c r="L248" s="96"/>
      <c r="M248" s="96"/>
      <c r="N248" s="96"/>
      <c r="O248" s="96"/>
      <c r="P248" s="96"/>
      <c r="Q248" s="96"/>
      <c r="R248" s="96"/>
      <c r="S248" s="96"/>
      <c r="T248" s="96"/>
      <c r="U248" s="96"/>
      <c r="V248" s="96"/>
      <c r="W248" s="96"/>
      <c r="X248" s="96"/>
      <c r="Y248" s="96"/>
      <c r="Z248" s="96"/>
      <c r="AA248" s="96"/>
      <c r="AB248" s="96"/>
      <c r="AC248" s="96"/>
      <c r="AD248" s="96"/>
      <c r="AE248" s="96"/>
    </row>
    <row r="249">
      <c r="A249" s="97">
        <f t="shared" si="3"/>
        <v>245</v>
      </c>
      <c r="B249" s="89"/>
      <c r="C249" s="89"/>
      <c r="D249" s="89"/>
      <c r="E249" s="89"/>
      <c r="F249" s="89"/>
      <c r="G249" s="89"/>
      <c r="H249" s="89"/>
      <c r="I249" s="89"/>
      <c r="J249" s="89"/>
      <c r="K249" s="89"/>
      <c r="L249" s="96"/>
      <c r="M249" s="96"/>
      <c r="N249" s="96"/>
      <c r="O249" s="96"/>
      <c r="P249" s="96"/>
      <c r="Q249" s="96"/>
      <c r="R249" s="96"/>
      <c r="S249" s="96"/>
      <c r="T249" s="96"/>
      <c r="U249" s="96"/>
      <c r="V249" s="96"/>
      <c r="W249" s="96"/>
      <c r="X249" s="96"/>
      <c r="Y249" s="96"/>
      <c r="Z249" s="96"/>
      <c r="AA249" s="96"/>
      <c r="AB249" s="96"/>
      <c r="AC249" s="96"/>
      <c r="AD249" s="96"/>
      <c r="AE249" s="96"/>
    </row>
    <row r="250">
      <c r="A250" s="97">
        <f t="shared" si="3"/>
        <v>246</v>
      </c>
      <c r="B250" s="89"/>
      <c r="C250" s="89"/>
      <c r="D250" s="89"/>
      <c r="E250" s="89"/>
      <c r="F250" s="89"/>
      <c r="G250" s="89"/>
      <c r="H250" s="89"/>
      <c r="I250" s="89"/>
      <c r="J250" s="89"/>
      <c r="K250" s="89"/>
      <c r="L250" s="96"/>
      <c r="M250" s="96"/>
      <c r="N250" s="96"/>
      <c r="O250" s="96"/>
      <c r="P250" s="96"/>
      <c r="Q250" s="96"/>
      <c r="R250" s="96"/>
      <c r="S250" s="96"/>
      <c r="T250" s="96"/>
      <c r="U250" s="96"/>
      <c r="V250" s="96"/>
      <c r="W250" s="96"/>
      <c r="X250" s="96"/>
      <c r="Y250" s="96"/>
      <c r="Z250" s="96"/>
      <c r="AA250" s="96"/>
      <c r="AB250" s="96"/>
      <c r="AC250" s="96"/>
      <c r="AD250" s="96"/>
      <c r="AE250" s="96"/>
    </row>
    <row r="251">
      <c r="A251" s="97">
        <f t="shared" si="3"/>
        <v>247</v>
      </c>
      <c r="B251" s="89"/>
      <c r="C251" s="89"/>
      <c r="D251" s="89"/>
      <c r="E251" s="89"/>
      <c r="F251" s="89"/>
      <c r="G251" s="89"/>
      <c r="H251" s="89"/>
      <c r="I251" s="89"/>
      <c r="J251" s="89"/>
      <c r="K251" s="89"/>
      <c r="L251" s="96"/>
      <c r="M251" s="96"/>
      <c r="N251" s="96"/>
      <c r="O251" s="96"/>
      <c r="P251" s="96"/>
      <c r="Q251" s="96"/>
      <c r="R251" s="96"/>
      <c r="S251" s="96"/>
      <c r="T251" s="96"/>
      <c r="U251" s="96"/>
      <c r="V251" s="96"/>
      <c r="W251" s="96"/>
      <c r="X251" s="96"/>
      <c r="Y251" s="96"/>
      <c r="Z251" s="96"/>
      <c r="AA251" s="96"/>
      <c r="AB251" s="96"/>
      <c r="AC251" s="96"/>
      <c r="AD251" s="96"/>
      <c r="AE251" s="96"/>
    </row>
    <row r="252">
      <c r="A252" s="97">
        <f t="shared" si="3"/>
        <v>248</v>
      </c>
      <c r="B252" s="89"/>
      <c r="C252" s="89"/>
      <c r="D252" s="89"/>
      <c r="E252" s="89"/>
      <c r="F252" s="89"/>
      <c r="G252" s="89"/>
      <c r="H252" s="89"/>
      <c r="I252" s="89"/>
      <c r="J252" s="89"/>
      <c r="K252" s="89"/>
      <c r="L252" s="96"/>
      <c r="M252" s="96"/>
      <c r="N252" s="96"/>
      <c r="O252" s="96"/>
      <c r="P252" s="96"/>
      <c r="Q252" s="96"/>
      <c r="R252" s="96"/>
      <c r="S252" s="96"/>
      <c r="T252" s="96"/>
      <c r="U252" s="96"/>
      <c r="V252" s="96"/>
      <c r="W252" s="96"/>
      <c r="X252" s="96"/>
      <c r="Y252" s="96"/>
      <c r="Z252" s="96"/>
      <c r="AA252" s="96"/>
      <c r="AB252" s="96"/>
      <c r="AC252" s="96"/>
      <c r="AD252" s="96"/>
      <c r="AE252" s="96"/>
    </row>
    <row r="253">
      <c r="A253" s="97">
        <f t="shared" si="3"/>
        <v>249</v>
      </c>
      <c r="B253" s="89"/>
      <c r="C253" s="89"/>
      <c r="D253" s="89"/>
      <c r="E253" s="89"/>
      <c r="F253" s="89"/>
      <c r="G253" s="89"/>
      <c r="H253" s="89"/>
      <c r="I253" s="89"/>
      <c r="J253" s="89"/>
      <c r="K253" s="89"/>
      <c r="L253" s="96"/>
      <c r="M253" s="96"/>
      <c r="N253" s="96"/>
      <c r="O253" s="96"/>
      <c r="P253" s="96"/>
      <c r="Q253" s="96"/>
      <c r="R253" s="96"/>
      <c r="S253" s="96"/>
      <c r="T253" s="96"/>
      <c r="U253" s="96"/>
      <c r="V253" s="96"/>
      <c r="W253" s="96"/>
      <c r="X253" s="96"/>
      <c r="Y253" s="96"/>
      <c r="Z253" s="96"/>
      <c r="AA253" s="96"/>
      <c r="AB253" s="96"/>
      <c r="AC253" s="96"/>
      <c r="AD253" s="96"/>
      <c r="AE253" s="96"/>
    </row>
    <row r="254">
      <c r="A254" s="97">
        <f t="shared" si="3"/>
        <v>250</v>
      </c>
      <c r="B254" s="89"/>
      <c r="C254" s="89"/>
      <c r="D254" s="89"/>
      <c r="E254" s="89"/>
      <c r="F254" s="89"/>
      <c r="G254" s="89"/>
      <c r="H254" s="89"/>
      <c r="I254" s="89"/>
      <c r="J254" s="89"/>
      <c r="K254" s="89"/>
      <c r="L254" s="96"/>
      <c r="M254" s="96"/>
      <c r="N254" s="96"/>
      <c r="O254" s="96"/>
      <c r="P254" s="96"/>
      <c r="Q254" s="96"/>
      <c r="R254" s="96"/>
      <c r="S254" s="96"/>
      <c r="T254" s="96"/>
      <c r="U254" s="96"/>
      <c r="V254" s="96"/>
      <c r="W254" s="96"/>
      <c r="X254" s="96"/>
      <c r="Y254" s="96"/>
      <c r="Z254" s="96"/>
      <c r="AA254" s="96"/>
      <c r="AB254" s="96"/>
      <c r="AC254" s="96"/>
      <c r="AD254" s="96"/>
      <c r="AE254" s="96"/>
    </row>
    <row r="255">
      <c r="A255" s="97">
        <f t="shared" si="3"/>
        <v>251</v>
      </c>
      <c r="B255" s="89"/>
      <c r="C255" s="89"/>
      <c r="D255" s="89"/>
      <c r="E255" s="89"/>
      <c r="F255" s="89"/>
      <c r="G255" s="89"/>
      <c r="H255" s="89"/>
      <c r="I255" s="89"/>
      <c r="J255" s="89"/>
      <c r="K255" s="89"/>
      <c r="L255" s="96"/>
      <c r="M255" s="96"/>
      <c r="N255" s="96"/>
      <c r="O255" s="96"/>
      <c r="P255" s="96"/>
      <c r="Q255" s="96"/>
      <c r="R255" s="96"/>
      <c r="S255" s="96"/>
      <c r="T255" s="96"/>
      <c r="U255" s="96"/>
      <c r="V255" s="96"/>
      <c r="W255" s="96"/>
      <c r="X255" s="96"/>
      <c r="Y255" s="96"/>
      <c r="Z255" s="96"/>
      <c r="AA255" s="96"/>
      <c r="AB255" s="96"/>
      <c r="AC255" s="96"/>
      <c r="AD255" s="96"/>
      <c r="AE255" s="96"/>
    </row>
    <row r="256">
      <c r="A256" s="97">
        <f t="shared" si="3"/>
        <v>252</v>
      </c>
      <c r="B256" s="89"/>
      <c r="C256" s="89"/>
      <c r="D256" s="89"/>
      <c r="E256" s="89"/>
      <c r="F256" s="89"/>
      <c r="G256" s="89"/>
      <c r="H256" s="89"/>
      <c r="I256" s="89"/>
      <c r="J256" s="89"/>
      <c r="K256" s="89"/>
      <c r="L256" s="96"/>
      <c r="M256" s="96"/>
      <c r="N256" s="96"/>
      <c r="O256" s="96"/>
      <c r="P256" s="96"/>
      <c r="Q256" s="96"/>
      <c r="R256" s="96"/>
      <c r="S256" s="96"/>
      <c r="T256" s="96"/>
      <c r="U256" s="96"/>
      <c r="V256" s="96"/>
      <c r="W256" s="96"/>
      <c r="X256" s="96"/>
      <c r="Y256" s="96"/>
      <c r="Z256" s="96"/>
      <c r="AA256" s="96"/>
      <c r="AB256" s="96"/>
      <c r="AC256" s="96"/>
      <c r="AD256" s="96"/>
      <c r="AE256" s="96"/>
    </row>
    <row r="257">
      <c r="A257" s="97">
        <f t="shared" si="3"/>
        <v>253</v>
      </c>
      <c r="B257" s="89"/>
      <c r="C257" s="89"/>
      <c r="D257" s="89"/>
      <c r="E257" s="89"/>
      <c r="F257" s="89"/>
      <c r="G257" s="89"/>
      <c r="H257" s="89"/>
      <c r="I257" s="89"/>
      <c r="J257" s="89"/>
      <c r="K257" s="89"/>
      <c r="L257" s="96"/>
      <c r="M257" s="96"/>
      <c r="N257" s="96"/>
      <c r="O257" s="96"/>
      <c r="P257" s="96"/>
      <c r="Q257" s="96"/>
      <c r="R257" s="96"/>
      <c r="S257" s="96"/>
      <c r="T257" s="96"/>
      <c r="U257" s="96"/>
      <c r="V257" s="96"/>
      <c r="W257" s="96"/>
      <c r="X257" s="96"/>
      <c r="Y257" s="96"/>
      <c r="Z257" s="96"/>
      <c r="AA257" s="96"/>
      <c r="AB257" s="96"/>
      <c r="AC257" s="96"/>
      <c r="AD257" s="96"/>
      <c r="AE257" s="96"/>
    </row>
    <row r="258">
      <c r="A258" s="97">
        <f t="shared" si="3"/>
        <v>254</v>
      </c>
      <c r="B258" s="89"/>
      <c r="C258" s="89"/>
      <c r="D258" s="89"/>
      <c r="E258" s="89"/>
      <c r="F258" s="89"/>
      <c r="G258" s="89"/>
      <c r="H258" s="89"/>
      <c r="I258" s="89"/>
      <c r="J258" s="89"/>
      <c r="K258" s="89"/>
      <c r="L258" s="96"/>
      <c r="M258" s="96"/>
      <c r="N258" s="96"/>
      <c r="O258" s="96"/>
      <c r="P258" s="96"/>
      <c r="Q258" s="96"/>
      <c r="R258" s="96"/>
      <c r="S258" s="96"/>
      <c r="T258" s="96"/>
      <c r="U258" s="96"/>
      <c r="V258" s="96"/>
      <c r="W258" s="96"/>
      <c r="X258" s="96"/>
      <c r="Y258" s="96"/>
      <c r="Z258" s="96"/>
      <c r="AA258" s="96"/>
      <c r="AB258" s="96"/>
      <c r="AC258" s="96"/>
      <c r="AD258" s="96"/>
      <c r="AE258" s="96"/>
    </row>
    <row r="259">
      <c r="A259" s="97">
        <f t="shared" si="3"/>
        <v>255</v>
      </c>
      <c r="B259" s="89"/>
      <c r="C259" s="89"/>
      <c r="D259" s="89"/>
      <c r="E259" s="89"/>
      <c r="F259" s="89"/>
      <c r="G259" s="89"/>
      <c r="H259" s="89"/>
      <c r="I259" s="89"/>
      <c r="J259" s="89"/>
      <c r="K259" s="89"/>
      <c r="L259" s="96"/>
      <c r="M259" s="96"/>
      <c r="N259" s="96"/>
      <c r="O259" s="96"/>
      <c r="P259" s="96"/>
      <c r="Q259" s="96"/>
      <c r="R259" s="96"/>
      <c r="S259" s="96"/>
      <c r="T259" s="96"/>
      <c r="U259" s="96"/>
      <c r="V259" s="96"/>
      <c r="W259" s="96"/>
      <c r="X259" s="96"/>
      <c r="Y259" s="96"/>
      <c r="Z259" s="96"/>
      <c r="AA259" s="96"/>
      <c r="AB259" s="96"/>
      <c r="AC259" s="96"/>
      <c r="AD259" s="96"/>
      <c r="AE259" s="96"/>
    </row>
    <row r="260">
      <c r="A260" s="97">
        <f t="shared" si="3"/>
        <v>256</v>
      </c>
      <c r="B260" s="89"/>
      <c r="C260" s="89"/>
      <c r="D260" s="89"/>
      <c r="E260" s="89"/>
      <c r="F260" s="89"/>
      <c r="G260" s="89"/>
      <c r="H260" s="89"/>
      <c r="I260" s="89"/>
      <c r="J260" s="89"/>
      <c r="K260" s="89"/>
      <c r="L260" s="96"/>
      <c r="M260" s="96"/>
      <c r="N260" s="96"/>
      <c r="O260" s="96"/>
      <c r="P260" s="96"/>
      <c r="Q260" s="96"/>
      <c r="R260" s="96"/>
      <c r="S260" s="96"/>
      <c r="T260" s="96"/>
      <c r="U260" s="96"/>
      <c r="V260" s="96"/>
      <c r="W260" s="96"/>
      <c r="X260" s="96"/>
      <c r="Y260" s="96"/>
      <c r="Z260" s="96"/>
      <c r="AA260" s="96"/>
      <c r="AB260" s="96"/>
      <c r="AC260" s="96"/>
      <c r="AD260" s="96"/>
      <c r="AE260" s="96"/>
    </row>
    <row r="261">
      <c r="A261" s="97">
        <f t="shared" si="3"/>
        <v>257</v>
      </c>
      <c r="B261" s="89"/>
      <c r="C261" s="89"/>
      <c r="D261" s="89"/>
      <c r="E261" s="89"/>
      <c r="F261" s="89"/>
      <c r="G261" s="89"/>
      <c r="H261" s="89"/>
      <c r="I261" s="89"/>
      <c r="J261" s="89"/>
      <c r="K261" s="89"/>
      <c r="L261" s="96"/>
      <c r="M261" s="96"/>
      <c r="N261" s="96"/>
      <c r="O261" s="96"/>
      <c r="P261" s="96"/>
      <c r="Q261" s="96"/>
      <c r="R261" s="96"/>
      <c r="S261" s="96"/>
      <c r="T261" s="96"/>
      <c r="U261" s="96"/>
      <c r="V261" s="96"/>
      <c r="W261" s="96"/>
      <c r="X261" s="96"/>
      <c r="Y261" s="96"/>
      <c r="Z261" s="96"/>
      <c r="AA261" s="96"/>
      <c r="AB261" s="96"/>
      <c r="AC261" s="96"/>
      <c r="AD261" s="96"/>
      <c r="AE261" s="96"/>
    </row>
    <row r="262">
      <c r="A262" s="97">
        <f t="shared" si="3"/>
        <v>258</v>
      </c>
      <c r="B262" s="89"/>
      <c r="C262" s="89"/>
      <c r="D262" s="89"/>
      <c r="E262" s="89"/>
      <c r="F262" s="89"/>
      <c r="G262" s="89"/>
      <c r="H262" s="89"/>
      <c r="I262" s="89"/>
      <c r="J262" s="89"/>
      <c r="K262" s="89"/>
      <c r="L262" s="96"/>
      <c r="M262" s="96"/>
      <c r="N262" s="96"/>
      <c r="O262" s="96"/>
      <c r="P262" s="96"/>
      <c r="Q262" s="96"/>
      <c r="R262" s="96"/>
      <c r="S262" s="96"/>
      <c r="T262" s="96"/>
      <c r="U262" s="96"/>
      <c r="V262" s="96"/>
      <c r="W262" s="96"/>
      <c r="X262" s="96"/>
      <c r="Y262" s="96"/>
      <c r="Z262" s="96"/>
      <c r="AA262" s="96"/>
      <c r="AB262" s="96"/>
      <c r="AC262" s="96"/>
      <c r="AD262" s="96"/>
      <c r="AE262" s="96"/>
    </row>
    <row r="263">
      <c r="A263" s="97">
        <f t="shared" si="3"/>
        <v>259</v>
      </c>
      <c r="B263" s="89"/>
      <c r="C263" s="89"/>
      <c r="D263" s="89"/>
      <c r="E263" s="89"/>
      <c r="F263" s="89"/>
      <c r="G263" s="89"/>
      <c r="H263" s="89"/>
      <c r="I263" s="89"/>
      <c r="J263" s="89"/>
      <c r="K263" s="89"/>
      <c r="L263" s="96"/>
      <c r="M263" s="96"/>
      <c r="N263" s="96"/>
      <c r="O263" s="96"/>
      <c r="P263" s="96"/>
      <c r="Q263" s="96"/>
      <c r="R263" s="96"/>
      <c r="S263" s="96"/>
      <c r="T263" s="96"/>
      <c r="U263" s="96"/>
      <c r="V263" s="96"/>
      <c r="W263" s="96"/>
      <c r="X263" s="96"/>
      <c r="Y263" s="96"/>
      <c r="Z263" s="96"/>
      <c r="AA263" s="96"/>
      <c r="AB263" s="96"/>
      <c r="AC263" s="96"/>
      <c r="AD263" s="96"/>
      <c r="AE263" s="96"/>
    </row>
    <row r="264">
      <c r="A264" s="97">
        <f t="shared" si="3"/>
        <v>260</v>
      </c>
      <c r="B264" s="89"/>
      <c r="C264" s="89"/>
      <c r="D264" s="89"/>
      <c r="E264" s="89"/>
      <c r="F264" s="89"/>
      <c r="G264" s="89"/>
      <c r="H264" s="89"/>
      <c r="I264" s="89"/>
      <c r="J264" s="89"/>
      <c r="K264" s="89"/>
      <c r="L264" s="96"/>
      <c r="M264" s="96"/>
      <c r="N264" s="96"/>
      <c r="O264" s="96"/>
      <c r="P264" s="96"/>
      <c r="Q264" s="96"/>
      <c r="R264" s="96"/>
      <c r="S264" s="96"/>
      <c r="T264" s="96"/>
      <c r="U264" s="96"/>
      <c r="V264" s="96"/>
      <c r="W264" s="96"/>
      <c r="X264" s="96"/>
      <c r="Y264" s="96"/>
      <c r="Z264" s="96"/>
      <c r="AA264" s="96"/>
      <c r="AB264" s="96"/>
      <c r="AC264" s="96"/>
      <c r="AD264" s="96"/>
      <c r="AE264" s="96"/>
    </row>
    <row r="265">
      <c r="A265" s="97">
        <f t="shared" si="3"/>
        <v>261</v>
      </c>
      <c r="B265" s="89"/>
      <c r="C265" s="89"/>
      <c r="D265" s="89"/>
      <c r="E265" s="89"/>
      <c r="F265" s="89"/>
      <c r="G265" s="89"/>
      <c r="H265" s="89"/>
      <c r="I265" s="89"/>
      <c r="J265" s="89"/>
      <c r="K265" s="89"/>
      <c r="L265" s="96"/>
      <c r="M265" s="96"/>
      <c r="N265" s="96"/>
      <c r="O265" s="96"/>
      <c r="P265" s="96"/>
      <c r="Q265" s="96"/>
      <c r="R265" s="96"/>
      <c r="S265" s="96"/>
      <c r="T265" s="96"/>
      <c r="U265" s="96"/>
      <c r="V265" s="96"/>
      <c r="W265" s="96"/>
      <c r="X265" s="96"/>
      <c r="Y265" s="96"/>
      <c r="Z265" s="96"/>
      <c r="AA265" s="96"/>
      <c r="AB265" s="96"/>
      <c r="AC265" s="96"/>
      <c r="AD265" s="96"/>
      <c r="AE265" s="96"/>
    </row>
    <row r="266">
      <c r="A266" s="97">
        <f t="shared" si="3"/>
        <v>262</v>
      </c>
      <c r="B266" s="89"/>
      <c r="C266" s="89"/>
      <c r="D266" s="89"/>
      <c r="E266" s="89"/>
      <c r="F266" s="89"/>
      <c r="G266" s="89"/>
      <c r="H266" s="89"/>
      <c r="I266" s="89"/>
      <c r="J266" s="89"/>
      <c r="K266" s="89"/>
      <c r="L266" s="96"/>
      <c r="M266" s="96"/>
      <c r="N266" s="96"/>
      <c r="O266" s="96"/>
      <c r="P266" s="96"/>
      <c r="Q266" s="96"/>
      <c r="R266" s="96"/>
      <c r="S266" s="96"/>
      <c r="T266" s="96"/>
      <c r="U266" s="96"/>
      <c r="V266" s="96"/>
      <c r="W266" s="96"/>
      <c r="X266" s="96"/>
      <c r="Y266" s="96"/>
      <c r="Z266" s="96"/>
      <c r="AA266" s="96"/>
      <c r="AB266" s="96"/>
      <c r="AC266" s="96"/>
      <c r="AD266" s="96"/>
      <c r="AE266" s="96"/>
    </row>
    <row r="267">
      <c r="A267" s="97">
        <f t="shared" si="3"/>
        <v>263</v>
      </c>
      <c r="B267" s="89"/>
      <c r="C267" s="89"/>
      <c r="D267" s="89"/>
      <c r="E267" s="89"/>
      <c r="F267" s="89"/>
      <c r="G267" s="89"/>
      <c r="H267" s="89"/>
      <c r="I267" s="89"/>
      <c r="J267" s="89"/>
      <c r="K267" s="89"/>
      <c r="L267" s="96"/>
      <c r="M267" s="96"/>
      <c r="N267" s="96"/>
      <c r="O267" s="96"/>
      <c r="P267" s="96"/>
      <c r="Q267" s="96"/>
      <c r="R267" s="96"/>
      <c r="S267" s="96"/>
      <c r="T267" s="96"/>
      <c r="U267" s="96"/>
      <c r="V267" s="96"/>
      <c r="W267" s="96"/>
      <c r="X267" s="96"/>
      <c r="Y267" s="96"/>
      <c r="Z267" s="96"/>
      <c r="AA267" s="96"/>
      <c r="AB267" s="96"/>
      <c r="AC267" s="96"/>
      <c r="AD267" s="96"/>
      <c r="AE267" s="96"/>
    </row>
    <row r="268">
      <c r="A268" s="97">
        <f t="shared" si="3"/>
        <v>264</v>
      </c>
      <c r="B268" s="89"/>
      <c r="C268" s="89"/>
      <c r="D268" s="89"/>
      <c r="E268" s="89"/>
      <c r="F268" s="89"/>
      <c r="G268" s="89"/>
      <c r="H268" s="89"/>
      <c r="I268" s="89"/>
      <c r="J268" s="89"/>
      <c r="K268" s="89"/>
      <c r="L268" s="96"/>
      <c r="M268" s="96"/>
      <c r="N268" s="96"/>
      <c r="O268" s="96"/>
      <c r="P268" s="96"/>
      <c r="Q268" s="96"/>
      <c r="R268" s="96"/>
      <c r="S268" s="96"/>
      <c r="T268" s="96"/>
      <c r="U268" s="96"/>
      <c r="V268" s="96"/>
      <c r="W268" s="96"/>
      <c r="X268" s="96"/>
      <c r="Y268" s="96"/>
      <c r="Z268" s="96"/>
      <c r="AA268" s="96"/>
      <c r="AB268" s="96"/>
      <c r="AC268" s="96"/>
      <c r="AD268" s="96"/>
      <c r="AE268" s="96"/>
    </row>
    <row r="269">
      <c r="A269" s="97">
        <f t="shared" si="3"/>
        <v>265</v>
      </c>
      <c r="B269" s="89"/>
      <c r="C269" s="89"/>
      <c r="D269" s="89"/>
      <c r="E269" s="89"/>
      <c r="F269" s="89"/>
      <c r="G269" s="89"/>
      <c r="H269" s="89"/>
      <c r="I269" s="89"/>
      <c r="J269" s="89"/>
      <c r="K269" s="89"/>
      <c r="L269" s="96"/>
      <c r="M269" s="96"/>
      <c r="N269" s="96"/>
      <c r="O269" s="96"/>
      <c r="P269" s="96"/>
      <c r="Q269" s="96"/>
      <c r="R269" s="96"/>
      <c r="S269" s="96"/>
      <c r="T269" s="96"/>
      <c r="U269" s="96"/>
      <c r="V269" s="96"/>
      <c r="W269" s="96"/>
      <c r="X269" s="96"/>
      <c r="Y269" s="96"/>
      <c r="Z269" s="96"/>
      <c r="AA269" s="96"/>
      <c r="AB269" s="96"/>
      <c r="AC269" s="96"/>
      <c r="AD269" s="96"/>
      <c r="AE269" s="96"/>
    </row>
    <row r="270">
      <c r="A270" s="97">
        <f t="shared" si="3"/>
        <v>266</v>
      </c>
      <c r="B270" s="89"/>
      <c r="C270" s="89"/>
      <c r="D270" s="89"/>
      <c r="E270" s="89"/>
      <c r="F270" s="89"/>
      <c r="G270" s="89"/>
      <c r="H270" s="89"/>
      <c r="I270" s="89"/>
      <c r="J270" s="89"/>
      <c r="K270" s="89"/>
      <c r="L270" s="96"/>
      <c r="M270" s="96"/>
      <c r="N270" s="96"/>
      <c r="O270" s="96"/>
      <c r="P270" s="96"/>
      <c r="Q270" s="96"/>
      <c r="R270" s="96"/>
      <c r="S270" s="96"/>
      <c r="T270" s="96"/>
      <c r="U270" s="96"/>
      <c r="V270" s="96"/>
      <c r="W270" s="96"/>
      <c r="X270" s="96"/>
      <c r="Y270" s="96"/>
      <c r="Z270" s="96"/>
      <c r="AA270" s="96"/>
      <c r="AB270" s="96"/>
      <c r="AC270" s="96"/>
      <c r="AD270" s="96"/>
      <c r="AE270" s="96"/>
    </row>
    <row r="271">
      <c r="A271" s="97">
        <f t="shared" si="3"/>
        <v>267</v>
      </c>
      <c r="B271" s="89"/>
      <c r="C271" s="89"/>
      <c r="D271" s="89"/>
      <c r="E271" s="89"/>
      <c r="F271" s="89"/>
      <c r="G271" s="89"/>
      <c r="H271" s="89"/>
      <c r="I271" s="89"/>
      <c r="J271" s="89"/>
      <c r="K271" s="89"/>
      <c r="L271" s="96"/>
      <c r="M271" s="96"/>
      <c r="N271" s="96"/>
      <c r="O271" s="96"/>
      <c r="P271" s="96"/>
      <c r="Q271" s="96"/>
      <c r="R271" s="96"/>
      <c r="S271" s="96"/>
      <c r="T271" s="96"/>
      <c r="U271" s="96"/>
      <c r="V271" s="96"/>
      <c r="W271" s="96"/>
      <c r="X271" s="96"/>
      <c r="Y271" s="96"/>
      <c r="Z271" s="96"/>
      <c r="AA271" s="96"/>
      <c r="AB271" s="96"/>
      <c r="AC271" s="96"/>
      <c r="AD271" s="96"/>
      <c r="AE271" s="96"/>
    </row>
    <row r="272">
      <c r="A272" s="97">
        <f t="shared" si="3"/>
        <v>268</v>
      </c>
      <c r="B272" s="89"/>
      <c r="C272" s="89"/>
      <c r="D272" s="89"/>
      <c r="E272" s="89"/>
      <c r="F272" s="89"/>
      <c r="G272" s="89"/>
      <c r="H272" s="89"/>
      <c r="I272" s="89"/>
      <c r="J272" s="89"/>
      <c r="K272" s="89"/>
      <c r="L272" s="96"/>
      <c r="M272" s="96"/>
      <c r="N272" s="96"/>
      <c r="O272" s="96"/>
      <c r="P272" s="96"/>
      <c r="Q272" s="96"/>
      <c r="R272" s="96"/>
      <c r="S272" s="96"/>
      <c r="T272" s="96"/>
      <c r="U272" s="96"/>
      <c r="V272" s="96"/>
      <c r="W272" s="96"/>
      <c r="X272" s="96"/>
      <c r="Y272" s="96"/>
      <c r="Z272" s="96"/>
      <c r="AA272" s="96"/>
      <c r="AB272" s="96"/>
      <c r="AC272" s="96"/>
      <c r="AD272" s="96"/>
      <c r="AE272" s="96"/>
    </row>
    <row r="273">
      <c r="A273" s="97">
        <f t="shared" si="3"/>
        <v>269</v>
      </c>
      <c r="B273" s="89"/>
      <c r="C273" s="89"/>
      <c r="D273" s="89"/>
      <c r="E273" s="89"/>
      <c r="F273" s="89"/>
      <c r="G273" s="89"/>
      <c r="H273" s="89"/>
      <c r="I273" s="89"/>
      <c r="J273" s="89"/>
      <c r="K273" s="89"/>
      <c r="L273" s="96"/>
      <c r="M273" s="96"/>
      <c r="N273" s="96"/>
      <c r="O273" s="96"/>
      <c r="P273" s="96"/>
      <c r="Q273" s="96"/>
      <c r="R273" s="96"/>
      <c r="S273" s="96"/>
      <c r="T273" s="96"/>
      <c r="U273" s="96"/>
      <c r="V273" s="96"/>
      <c r="W273" s="96"/>
      <c r="X273" s="96"/>
      <c r="Y273" s="96"/>
      <c r="Z273" s="96"/>
      <c r="AA273" s="96"/>
      <c r="AB273" s="96"/>
      <c r="AC273" s="96"/>
      <c r="AD273" s="96"/>
      <c r="AE273" s="96"/>
    </row>
    <row r="274">
      <c r="A274" s="97">
        <f t="shared" si="3"/>
        <v>270</v>
      </c>
      <c r="B274" s="89"/>
      <c r="C274" s="89"/>
      <c r="D274" s="89"/>
      <c r="E274" s="89"/>
      <c r="F274" s="89"/>
      <c r="G274" s="89"/>
      <c r="H274" s="89"/>
      <c r="I274" s="89"/>
      <c r="J274" s="89"/>
      <c r="K274" s="89"/>
      <c r="L274" s="96"/>
      <c r="M274" s="96"/>
      <c r="N274" s="96"/>
      <c r="O274" s="96"/>
      <c r="P274" s="96"/>
      <c r="Q274" s="96"/>
      <c r="R274" s="96"/>
      <c r="S274" s="96"/>
      <c r="T274" s="96"/>
      <c r="U274" s="96"/>
      <c r="V274" s="96"/>
      <c r="W274" s="96"/>
      <c r="X274" s="96"/>
      <c r="Y274" s="96"/>
      <c r="Z274" s="96"/>
      <c r="AA274" s="96"/>
      <c r="AB274" s="96"/>
      <c r="AC274" s="96"/>
      <c r="AD274" s="96"/>
      <c r="AE274" s="96"/>
    </row>
    <row r="275">
      <c r="A275" s="97">
        <f t="shared" si="3"/>
        <v>271</v>
      </c>
      <c r="B275" s="89"/>
      <c r="C275" s="89"/>
      <c r="D275" s="89"/>
      <c r="E275" s="89"/>
      <c r="F275" s="89"/>
      <c r="G275" s="89"/>
      <c r="H275" s="89"/>
      <c r="I275" s="89"/>
      <c r="J275" s="89"/>
      <c r="K275" s="89"/>
      <c r="L275" s="96"/>
      <c r="M275" s="96"/>
      <c r="N275" s="96"/>
      <c r="O275" s="96"/>
      <c r="P275" s="96"/>
      <c r="Q275" s="96"/>
      <c r="R275" s="96"/>
      <c r="S275" s="96"/>
      <c r="T275" s="96"/>
      <c r="U275" s="96"/>
      <c r="V275" s="96"/>
      <c r="W275" s="96"/>
      <c r="X275" s="96"/>
      <c r="Y275" s="96"/>
      <c r="Z275" s="96"/>
      <c r="AA275" s="96"/>
      <c r="AB275" s="96"/>
      <c r="AC275" s="96"/>
      <c r="AD275" s="96"/>
      <c r="AE275" s="96"/>
    </row>
    <row r="276">
      <c r="A276" s="97">
        <f t="shared" si="3"/>
        <v>272</v>
      </c>
      <c r="B276" s="89"/>
      <c r="C276" s="89"/>
      <c r="D276" s="89"/>
      <c r="E276" s="89"/>
      <c r="F276" s="89"/>
      <c r="G276" s="89"/>
      <c r="H276" s="89"/>
      <c r="I276" s="89"/>
      <c r="J276" s="89"/>
      <c r="K276" s="89"/>
      <c r="L276" s="96"/>
      <c r="M276" s="96"/>
      <c r="N276" s="96"/>
      <c r="O276" s="96"/>
      <c r="P276" s="96"/>
      <c r="Q276" s="96"/>
      <c r="R276" s="96"/>
      <c r="S276" s="96"/>
      <c r="T276" s="96"/>
      <c r="U276" s="96"/>
      <c r="V276" s="96"/>
      <c r="W276" s="96"/>
      <c r="X276" s="96"/>
      <c r="Y276" s="96"/>
      <c r="Z276" s="96"/>
      <c r="AA276" s="96"/>
      <c r="AB276" s="96"/>
      <c r="AC276" s="96"/>
      <c r="AD276" s="96"/>
      <c r="AE276" s="96"/>
    </row>
    <row r="277">
      <c r="A277" s="97">
        <f t="shared" si="3"/>
        <v>273</v>
      </c>
      <c r="B277" s="89"/>
      <c r="C277" s="89"/>
      <c r="D277" s="89"/>
      <c r="E277" s="89"/>
      <c r="F277" s="89"/>
      <c r="G277" s="89"/>
      <c r="H277" s="89"/>
      <c r="I277" s="89"/>
      <c r="J277" s="89"/>
      <c r="K277" s="89"/>
      <c r="L277" s="96"/>
      <c r="M277" s="96"/>
      <c r="N277" s="96"/>
      <c r="O277" s="96"/>
      <c r="P277" s="96"/>
      <c r="Q277" s="96"/>
      <c r="R277" s="96"/>
      <c r="S277" s="96"/>
      <c r="T277" s="96"/>
      <c r="U277" s="96"/>
      <c r="V277" s="96"/>
      <c r="W277" s="96"/>
      <c r="X277" s="96"/>
      <c r="Y277" s="96"/>
      <c r="Z277" s="96"/>
      <c r="AA277" s="96"/>
      <c r="AB277" s="96"/>
      <c r="AC277" s="96"/>
      <c r="AD277" s="96"/>
      <c r="AE277" s="96"/>
    </row>
    <row r="278">
      <c r="A278" s="97">
        <f t="shared" si="3"/>
        <v>274</v>
      </c>
      <c r="B278" s="89"/>
      <c r="C278" s="89"/>
      <c r="D278" s="89"/>
      <c r="E278" s="89"/>
      <c r="F278" s="89"/>
      <c r="G278" s="89"/>
      <c r="H278" s="89"/>
      <c r="I278" s="89"/>
      <c r="J278" s="89"/>
      <c r="K278" s="89"/>
      <c r="L278" s="96"/>
      <c r="M278" s="96"/>
      <c r="N278" s="96"/>
      <c r="O278" s="96"/>
      <c r="P278" s="96"/>
      <c r="Q278" s="96"/>
      <c r="R278" s="96"/>
      <c r="S278" s="96"/>
      <c r="T278" s="96"/>
      <c r="U278" s="96"/>
      <c r="V278" s="96"/>
      <c r="W278" s="96"/>
      <c r="X278" s="96"/>
      <c r="Y278" s="96"/>
      <c r="Z278" s="96"/>
      <c r="AA278" s="96"/>
      <c r="AB278" s="96"/>
      <c r="AC278" s="96"/>
      <c r="AD278" s="96"/>
      <c r="AE278" s="96"/>
    </row>
    <row r="279">
      <c r="A279" s="97">
        <f t="shared" si="3"/>
        <v>275</v>
      </c>
      <c r="B279" s="89"/>
      <c r="C279" s="89"/>
      <c r="D279" s="89"/>
      <c r="E279" s="89"/>
      <c r="F279" s="89"/>
      <c r="G279" s="89"/>
      <c r="H279" s="89"/>
      <c r="I279" s="89"/>
      <c r="J279" s="89"/>
      <c r="K279" s="89"/>
      <c r="L279" s="96"/>
      <c r="M279" s="96"/>
      <c r="N279" s="96"/>
      <c r="O279" s="96"/>
      <c r="P279" s="96"/>
      <c r="Q279" s="96"/>
      <c r="R279" s="96"/>
      <c r="S279" s="96"/>
      <c r="T279" s="96"/>
      <c r="U279" s="96"/>
      <c r="V279" s="96"/>
      <c r="W279" s="96"/>
      <c r="X279" s="96"/>
      <c r="Y279" s="96"/>
      <c r="Z279" s="96"/>
      <c r="AA279" s="96"/>
      <c r="AB279" s="96"/>
      <c r="AC279" s="96"/>
      <c r="AD279" s="96"/>
      <c r="AE279" s="96"/>
    </row>
    <row r="280">
      <c r="A280" s="97">
        <f t="shared" si="3"/>
        <v>276</v>
      </c>
      <c r="B280" s="89"/>
      <c r="C280" s="89"/>
      <c r="D280" s="89"/>
      <c r="E280" s="89"/>
      <c r="F280" s="89"/>
      <c r="G280" s="89"/>
      <c r="H280" s="89"/>
      <c r="I280" s="89"/>
      <c r="J280" s="89"/>
      <c r="K280" s="89"/>
      <c r="L280" s="96"/>
      <c r="M280" s="96"/>
      <c r="N280" s="96"/>
      <c r="O280" s="96"/>
      <c r="P280" s="96"/>
      <c r="Q280" s="96"/>
      <c r="R280" s="96"/>
      <c r="S280" s="96"/>
      <c r="T280" s="96"/>
      <c r="U280" s="96"/>
      <c r="V280" s="96"/>
      <c r="W280" s="96"/>
      <c r="X280" s="96"/>
      <c r="Y280" s="96"/>
      <c r="Z280" s="96"/>
      <c r="AA280" s="96"/>
      <c r="AB280" s="96"/>
      <c r="AC280" s="96"/>
      <c r="AD280" s="96"/>
      <c r="AE280" s="96"/>
    </row>
    <row r="281">
      <c r="A281" s="97">
        <f t="shared" si="3"/>
        <v>277</v>
      </c>
      <c r="B281" s="89"/>
      <c r="C281" s="89"/>
      <c r="D281" s="89"/>
      <c r="E281" s="89"/>
      <c r="F281" s="89"/>
      <c r="G281" s="89"/>
      <c r="H281" s="89"/>
      <c r="I281" s="89"/>
      <c r="J281" s="89"/>
      <c r="K281" s="89"/>
      <c r="L281" s="96"/>
      <c r="M281" s="96"/>
      <c r="N281" s="96"/>
      <c r="O281" s="96"/>
      <c r="P281" s="96"/>
      <c r="Q281" s="96"/>
      <c r="R281" s="96"/>
      <c r="S281" s="96"/>
      <c r="T281" s="96"/>
      <c r="U281" s="96"/>
      <c r="V281" s="96"/>
      <c r="W281" s="96"/>
      <c r="X281" s="96"/>
      <c r="Y281" s="96"/>
      <c r="Z281" s="96"/>
      <c r="AA281" s="96"/>
      <c r="AB281" s="96"/>
      <c r="AC281" s="96"/>
      <c r="AD281" s="96"/>
      <c r="AE281" s="96"/>
    </row>
    <row r="282">
      <c r="A282" s="97">
        <f t="shared" si="3"/>
        <v>278</v>
      </c>
      <c r="B282" s="89"/>
      <c r="C282" s="89"/>
      <c r="D282" s="89"/>
      <c r="E282" s="89"/>
      <c r="F282" s="89"/>
      <c r="G282" s="89"/>
      <c r="H282" s="89"/>
      <c r="I282" s="89"/>
      <c r="J282" s="89"/>
      <c r="K282" s="89"/>
      <c r="L282" s="96"/>
      <c r="M282" s="96"/>
      <c r="N282" s="96"/>
      <c r="O282" s="96"/>
      <c r="P282" s="96"/>
      <c r="Q282" s="96"/>
      <c r="R282" s="96"/>
      <c r="S282" s="96"/>
      <c r="T282" s="96"/>
      <c r="U282" s="96"/>
      <c r="V282" s="96"/>
      <c r="W282" s="96"/>
      <c r="X282" s="96"/>
      <c r="Y282" s="96"/>
      <c r="Z282" s="96"/>
      <c r="AA282" s="96"/>
      <c r="AB282" s="96"/>
      <c r="AC282" s="96"/>
      <c r="AD282" s="96"/>
      <c r="AE282" s="96"/>
    </row>
    <row r="283">
      <c r="A283" s="97">
        <f t="shared" si="3"/>
        <v>279</v>
      </c>
      <c r="B283" s="89"/>
      <c r="C283" s="89"/>
      <c r="D283" s="89"/>
      <c r="E283" s="89"/>
      <c r="F283" s="89"/>
      <c r="G283" s="89"/>
      <c r="H283" s="89"/>
      <c r="I283" s="89"/>
      <c r="J283" s="89"/>
      <c r="K283" s="89"/>
      <c r="L283" s="96"/>
      <c r="M283" s="96"/>
      <c r="N283" s="96"/>
      <c r="O283" s="96"/>
      <c r="P283" s="96"/>
      <c r="Q283" s="96"/>
      <c r="R283" s="96"/>
      <c r="S283" s="96"/>
      <c r="T283" s="96"/>
      <c r="U283" s="96"/>
      <c r="V283" s="96"/>
      <c r="W283" s="96"/>
      <c r="X283" s="96"/>
      <c r="Y283" s="96"/>
      <c r="Z283" s="96"/>
      <c r="AA283" s="96"/>
      <c r="AB283" s="96"/>
      <c r="AC283" s="96"/>
      <c r="AD283" s="96"/>
      <c r="AE283" s="96"/>
    </row>
    <row r="284">
      <c r="A284" s="97">
        <f t="shared" si="3"/>
        <v>280</v>
      </c>
      <c r="B284" s="89"/>
      <c r="C284" s="89"/>
      <c r="D284" s="89"/>
      <c r="E284" s="89"/>
      <c r="F284" s="89"/>
      <c r="G284" s="89"/>
      <c r="H284" s="89"/>
      <c r="I284" s="89"/>
      <c r="J284" s="89"/>
      <c r="K284" s="89"/>
      <c r="L284" s="96"/>
      <c r="M284" s="96"/>
      <c r="N284" s="96"/>
      <c r="O284" s="96"/>
      <c r="P284" s="96"/>
      <c r="Q284" s="96"/>
      <c r="R284" s="96"/>
      <c r="S284" s="96"/>
      <c r="T284" s="96"/>
      <c r="U284" s="96"/>
      <c r="V284" s="96"/>
      <c r="W284" s="96"/>
      <c r="X284" s="96"/>
      <c r="Y284" s="96"/>
      <c r="Z284" s="96"/>
      <c r="AA284" s="96"/>
      <c r="AB284" s="96"/>
      <c r="AC284" s="96"/>
      <c r="AD284" s="96"/>
      <c r="AE284" s="96"/>
    </row>
    <row r="285">
      <c r="A285" s="97">
        <f t="shared" si="3"/>
        <v>281</v>
      </c>
      <c r="B285" s="89"/>
      <c r="C285" s="89"/>
      <c r="D285" s="89"/>
      <c r="E285" s="89"/>
      <c r="F285" s="89"/>
      <c r="G285" s="89"/>
      <c r="H285" s="89"/>
      <c r="I285" s="89"/>
      <c r="J285" s="89"/>
      <c r="K285" s="89"/>
      <c r="L285" s="96"/>
      <c r="M285" s="96"/>
      <c r="N285" s="96"/>
      <c r="O285" s="96"/>
      <c r="P285" s="96"/>
      <c r="Q285" s="96"/>
      <c r="R285" s="96"/>
      <c r="S285" s="96"/>
      <c r="T285" s="96"/>
      <c r="U285" s="96"/>
      <c r="V285" s="96"/>
      <c r="W285" s="96"/>
      <c r="X285" s="96"/>
      <c r="Y285" s="96"/>
      <c r="Z285" s="96"/>
      <c r="AA285" s="96"/>
      <c r="AB285" s="96"/>
      <c r="AC285" s="96"/>
      <c r="AD285" s="96"/>
      <c r="AE285" s="96"/>
    </row>
    <row r="286">
      <c r="A286" s="97">
        <f t="shared" si="3"/>
        <v>282</v>
      </c>
      <c r="B286" s="89"/>
      <c r="C286" s="89"/>
      <c r="D286" s="89"/>
      <c r="E286" s="89"/>
      <c r="F286" s="89"/>
      <c r="G286" s="89"/>
      <c r="H286" s="89"/>
      <c r="I286" s="89"/>
      <c r="J286" s="89"/>
      <c r="K286" s="89"/>
      <c r="L286" s="96"/>
      <c r="M286" s="96"/>
      <c r="N286" s="96"/>
      <c r="O286" s="96"/>
      <c r="P286" s="96"/>
      <c r="Q286" s="96"/>
      <c r="R286" s="96"/>
      <c r="S286" s="96"/>
      <c r="T286" s="96"/>
      <c r="U286" s="96"/>
      <c r="V286" s="96"/>
      <c r="W286" s="96"/>
      <c r="X286" s="96"/>
      <c r="Y286" s="96"/>
      <c r="Z286" s="96"/>
      <c r="AA286" s="96"/>
      <c r="AB286" s="96"/>
      <c r="AC286" s="96"/>
      <c r="AD286" s="96"/>
      <c r="AE286" s="96"/>
    </row>
    <row r="287">
      <c r="A287" s="97">
        <f t="shared" si="3"/>
        <v>283</v>
      </c>
      <c r="B287" s="89"/>
      <c r="C287" s="89"/>
      <c r="D287" s="89"/>
      <c r="E287" s="89"/>
      <c r="F287" s="89"/>
      <c r="G287" s="89"/>
      <c r="H287" s="89"/>
      <c r="I287" s="89"/>
      <c r="J287" s="89"/>
      <c r="K287" s="89"/>
      <c r="L287" s="96"/>
      <c r="M287" s="96"/>
      <c r="N287" s="96"/>
      <c r="O287" s="96"/>
      <c r="P287" s="96"/>
      <c r="Q287" s="96"/>
      <c r="R287" s="96"/>
      <c r="S287" s="96"/>
      <c r="T287" s="96"/>
      <c r="U287" s="96"/>
      <c r="V287" s="96"/>
      <c r="W287" s="96"/>
      <c r="X287" s="96"/>
      <c r="Y287" s="96"/>
      <c r="Z287" s="96"/>
      <c r="AA287" s="96"/>
      <c r="AB287" s="96"/>
      <c r="AC287" s="96"/>
      <c r="AD287" s="96"/>
      <c r="AE287" s="96"/>
    </row>
    <row r="288">
      <c r="A288" s="97">
        <f t="shared" si="3"/>
        <v>284</v>
      </c>
      <c r="B288" s="89"/>
      <c r="C288" s="89"/>
      <c r="D288" s="89"/>
      <c r="E288" s="89"/>
      <c r="F288" s="89"/>
      <c r="G288" s="89"/>
      <c r="H288" s="89"/>
      <c r="I288" s="89"/>
      <c r="J288" s="89"/>
      <c r="K288" s="89"/>
      <c r="L288" s="96"/>
      <c r="M288" s="96"/>
      <c r="N288" s="96"/>
      <c r="O288" s="96"/>
      <c r="P288" s="96"/>
      <c r="Q288" s="96"/>
      <c r="R288" s="96"/>
      <c r="S288" s="96"/>
      <c r="T288" s="96"/>
      <c r="U288" s="96"/>
      <c r="V288" s="96"/>
      <c r="W288" s="96"/>
      <c r="X288" s="96"/>
      <c r="Y288" s="96"/>
      <c r="Z288" s="96"/>
      <c r="AA288" s="96"/>
      <c r="AB288" s="96"/>
      <c r="AC288" s="96"/>
      <c r="AD288" s="96"/>
      <c r="AE288" s="96"/>
    </row>
    <row r="289">
      <c r="A289" s="97">
        <f t="shared" si="3"/>
        <v>285</v>
      </c>
      <c r="B289" s="89"/>
      <c r="C289" s="89"/>
      <c r="D289" s="89"/>
      <c r="E289" s="89"/>
      <c r="F289" s="89"/>
      <c r="G289" s="89"/>
      <c r="H289" s="89"/>
      <c r="I289" s="89"/>
      <c r="J289" s="89"/>
      <c r="K289" s="89"/>
      <c r="L289" s="96"/>
      <c r="M289" s="96"/>
      <c r="N289" s="96"/>
      <c r="O289" s="96"/>
      <c r="P289" s="96"/>
      <c r="Q289" s="96"/>
      <c r="R289" s="96"/>
      <c r="S289" s="96"/>
      <c r="T289" s="96"/>
      <c r="U289" s="96"/>
      <c r="V289" s="96"/>
      <c r="W289" s="96"/>
      <c r="X289" s="96"/>
      <c r="Y289" s="96"/>
      <c r="Z289" s="96"/>
      <c r="AA289" s="96"/>
      <c r="AB289" s="96"/>
      <c r="AC289" s="96"/>
      <c r="AD289" s="96"/>
      <c r="AE289" s="96"/>
    </row>
    <row r="290">
      <c r="A290" s="97">
        <f t="shared" si="3"/>
        <v>286</v>
      </c>
      <c r="B290" s="89"/>
      <c r="C290" s="89"/>
      <c r="D290" s="89"/>
      <c r="E290" s="89"/>
      <c r="F290" s="89"/>
      <c r="G290" s="89"/>
      <c r="H290" s="89"/>
      <c r="I290" s="89"/>
      <c r="J290" s="89"/>
      <c r="K290" s="89"/>
      <c r="L290" s="96"/>
      <c r="M290" s="96"/>
      <c r="N290" s="96"/>
      <c r="O290" s="96"/>
      <c r="P290" s="96"/>
      <c r="Q290" s="96"/>
      <c r="R290" s="96"/>
      <c r="S290" s="96"/>
      <c r="T290" s="96"/>
      <c r="U290" s="96"/>
      <c r="V290" s="96"/>
      <c r="W290" s="96"/>
      <c r="X290" s="96"/>
      <c r="Y290" s="96"/>
      <c r="Z290" s="96"/>
      <c r="AA290" s="96"/>
      <c r="AB290" s="96"/>
      <c r="AC290" s="96"/>
      <c r="AD290" s="96"/>
      <c r="AE290" s="96"/>
    </row>
    <row r="291">
      <c r="A291" s="97">
        <f t="shared" si="3"/>
        <v>287</v>
      </c>
      <c r="B291" s="89"/>
      <c r="C291" s="89"/>
      <c r="D291" s="89"/>
      <c r="E291" s="89"/>
      <c r="F291" s="89"/>
      <c r="G291" s="89"/>
      <c r="H291" s="89"/>
      <c r="I291" s="89"/>
      <c r="J291" s="89"/>
      <c r="K291" s="89"/>
      <c r="L291" s="96"/>
      <c r="M291" s="96"/>
      <c r="N291" s="96"/>
      <c r="O291" s="96"/>
      <c r="P291" s="96"/>
      <c r="Q291" s="96"/>
      <c r="R291" s="96"/>
      <c r="S291" s="96"/>
      <c r="T291" s="96"/>
      <c r="U291" s="96"/>
      <c r="V291" s="96"/>
      <c r="W291" s="96"/>
      <c r="X291" s="96"/>
      <c r="Y291" s="96"/>
      <c r="Z291" s="96"/>
      <c r="AA291" s="96"/>
      <c r="AB291" s="96"/>
      <c r="AC291" s="96"/>
      <c r="AD291" s="96"/>
      <c r="AE291" s="96"/>
    </row>
    <row r="292">
      <c r="A292" s="97">
        <f t="shared" si="3"/>
        <v>288</v>
      </c>
      <c r="B292" s="89"/>
      <c r="C292" s="89"/>
      <c r="D292" s="89"/>
      <c r="E292" s="89"/>
      <c r="F292" s="89"/>
      <c r="G292" s="89"/>
      <c r="H292" s="89"/>
      <c r="I292" s="89"/>
      <c r="J292" s="89"/>
      <c r="K292" s="89"/>
      <c r="L292" s="96"/>
      <c r="M292" s="96"/>
      <c r="N292" s="96"/>
      <c r="O292" s="96"/>
      <c r="P292" s="96"/>
      <c r="Q292" s="96"/>
      <c r="R292" s="96"/>
      <c r="S292" s="96"/>
      <c r="T292" s="96"/>
      <c r="U292" s="96"/>
      <c r="V292" s="96"/>
      <c r="W292" s="96"/>
      <c r="X292" s="96"/>
      <c r="Y292" s="96"/>
      <c r="Z292" s="96"/>
      <c r="AA292" s="96"/>
      <c r="AB292" s="96"/>
      <c r="AC292" s="96"/>
      <c r="AD292" s="96"/>
      <c r="AE292" s="96"/>
    </row>
    <row r="293">
      <c r="A293" s="97">
        <f t="shared" si="3"/>
        <v>289</v>
      </c>
      <c r="B293" s="89"/>
      <c r="C293" s="89"/>
      <c r="D293" s="89"/>
      <c r="E293" s="89"/>
      <c r="F293" s="89"/>
      <c r="G293" s="89"/>
      <c r="H293" s="89"/>
      <c r="I293" s="89"/>
      <c r="J293" s="89"/>
      <c r="K293" s="89"/>
      <c r="L293" s="96"/>
      <c r="M293" s="96"/>
      <c r="N293" s="96"/>
      <c r="O293" s="96"/>
      <c r="P293" s="96"/>
      <c r="Q293" s="96"/>
      <c r="R293" s="96"/>
      <c r="S293" s="96"/>
      <c r="T293" s="96"/>
      <c r="U293" s="96"/>
      <c r="V293" s="96"/>
      <c r="W293" s="96"/>
      <c r="X293" s="96"/>
      <c r="Y293" s="96"/>
      <c r="Z293" s="96"/>
      <c r="AA293" s="96"/>
      <c r="AB293" s="96"/>
      <c r="AC293" s="96"/>
      <c r="AD293" s="96"/>
      <c r="AE293" s="96"/>
    </row>
    <row r="294">
      <c r="A294" s="97">
        <f t="shared" si="3"/>
        <v>290</v>
      </c>
      <c r="B294" s="89"/>
      <c r="C294" s="89"/>
      <c r="D294" s="89"/>
      <c r="E294" s="89"/>
      <c r="F294" s="89"/>
      <c r="G294" s="89"/>
      <c r="H294" s="89"/>
      <c r="I294" s="89"/>
      <c r="J294" s="89"/>
      <c r="K294" s="89"/>
      <c r="L294" s="96"/>
      <c r="M294" s="96"/>
      <c r="N294" s="96"/>
      <c r="O294" s="96"/>
      <c r="P294" s="96"/>
      <c r="Q294" s="96"/>
      <c r="R294" s="96"/>
      <c r="S294" s="96"/>
      <c r="T294" s="96"/>
      <c r="U294" s="96"/>
      <c r="V294" s="96"/>
      <c r="W294" s="96"/>
      <c r="X294" s="96"/>
      <c r="Y294" s="96"/>
      <c r="Z294" s="96"/>
      <c r="AA294" s="96"/>
      <c r="AB294" s="96"/>
      <c r="AC294" s="96"/>
      <c r="AD294" s="96"/>
      <c r="AE294" s="96"/>
    </row>
    <row r="295">
      <c r="A295" s="97">
        <f t="shared" si="3"/>
        <v>291</v>
      </c>
      <c r="B295" s="89"/>
      <c r="C295" s="89"/>
      <c r="D295" s="89"/>
      <c r="E295" s="89"/>
      <c r="F295" s="89"/>
      <c r="G295" s="89"/>
      <c r="H295" s="89"/>
      <c r="I295" s="89"/>
      <c r="J295" s="89"/>
      <c r="K295" s="89"/>
      <c r="L295" s="96"/>
      <c r="M295" s="96"/>
      <c r="N295" s="96"/>
      <c r="O295" s="96"/>
      <c r="P295" s="96"/>
      <c r="Q295" s="96"/>
      <c r="R295" s="96"/>
      <c r="S295" s="96"/>
      <c r="T295" s="96"/>
      <c r="U295" s="96"/>
      <c r="V295" s="96"/>
      <c r="W295" s="96"/>
      <c r="X295" s="96"/>
      <c r="Y295" s="96"/>
      <c r="Z295" s="96"/>
      <c r="AA295" s="96"/>
      <c r="AB295" s="96"/>
      <c r="AC295" s="96"/>
      <c r="AD295" s="96"/>
      <c r="AE295" s="96"/>
    </row>
    <row r="296">
      <c r="A296" s="97">
        <f t="shared" si="3"/>
        <v>292</v>
      </c>
      <c r="B296" s="89"/>
      <c r="C296" s="89"/>
      <c r="D296" s="89"/>
      <c r="E296" s="89"/>
      <c r="F296" s="89"/>
      <c r="G296" s="89"/>
      <c r="H296" s="89"/>
      <c r="I296" s="89"/>
      <c r="J296" s="89"/>
      <c r="K296" s="89"/>
      <c r="L296" s="96"/>
      <c r="M296" s="96"/>
      <c r="N296" s="96"/>
      <c r="O296" s="96"/>
      <c r="P296" s="96"/>
      <c r="Q296" s="96"/>
      <c r="R296" s="96"/>
      <c r="S296" s="96"/>
      <c r="T296" s="96"/>
      <c r="U296" s="96"/>
      <c r="V296" s="96"/>
      <c r="W296" s="96"/>
      <c r="X296" s="96"/>
      <c r="Y296" s="96"/>
      <c r="Z296" s="96"/>
      <c r="AA296" s="96"/>
      <c r="AB296" s="96"/>
      <c r="AC296" s="96"/>
      <c r="AD296" s="96"/>
      <c r="AE296" s="96"/>
    </row>
    <row r="297">
      <c r="A297" s="97">
        <f t="shared" si="3"/>
        <v>293</v>
      </c>
      <c r="B297" s="89"/>
      <c r="C297" s="89"/>
      <c r="D297" s="89"/>
      <c r="E297" s="89"/>
      <c r="F297" s="89"/>
      <c r="G297" s="89"/>
      <c r="H297" s="89"/>
      <c r="I297" s="89"/>
      <c r="J297" s="89"/>
      <c r="K297" s="89"/>
      <c r="L297" s="96"/>
      <c r="M297" s="96"/>
      <c r="N297" s="96"/>
      <c r="O297" s="96"/>
      <c r="P297" s="96"/>
      <c r="Q297" s="96"/>
      <c r="R297" s="96"/>
      <c r="S297" s="96"/>
      <c r="T297" s="96"/>
      <c r="U297" s="96"/>
      <c r="V297" s="96"/>
      <c r="W297" s="96"/>
      <c r="X297" s="96"/>
      <c r="Y297" s="96"/>
      <c r="Z297" s="96"/>
      <c r="AA297" s="96"/>
      <c r="AB297" s="96"/>
      <c r="AC297" s="96"/>
      <c r="AD297" s="96"/>
      <c r="AE297" s="96"/>
    </row>
    <row r="298">
      <c r="A298" s="97">
        <f t="shared" si="3"/>
        <v>294</v>
      </c>
      <c r="B298" s="89"/>
      <c r="C298" s="89"/>
      <c r="D298" s="89"/>
      <c r="E298" s="89"/>
      <c r="F298" s="89"/>
      <c r="G298" s="89"/>
      <c r="H298" s="89"/>
      <c r="I298" s="89"/>
      <c r="J298" s="89"/>
      <c r="K298" s="89"/>
      <c r="L298" s="96"/>
      <c r="M298" s="96"/>
      <c r="N298" s="96"/>
      <c r="O298" s="96"/>
      <c r="P298" s="96"/>
      <c r="Q298" s="96"/>
      <c r="R298" s="96"/>
      <c r="S298" s="96"/>
      <c r="T298" s="96"/>
      <c r="U298" s="96"/>
      <c r="V298" s="96"/>
      <c r="W298" s="96"/>
      <c r="X298" s="96"/>
      <c r="Y298" s="96"/>
      <c r="Z298" s="96"/>
      <c r="AA298" s="96"/>
      <c r="AB298" s="96"/>
      <c r="AC298" s="96"/>
      <c r="AD298" s="96"/>
      <c r="AE298" s="96"/>
    </row>
    <row r="299">
      <c r="A299" s="97">
        <f t="shared" si="3"/>
        <v>295</v>
      </c>
      <c r="B299" s="89"/>
      <c r="C299" s="89"/>
      <c r="D299" s="89"/>
      <c r="E299" s="89"/>
      <c r="F299" s="89"/>
      <c r="G299" s="89"/>
      <c r="H299" s="89"/>
      <c r="I299" s="89"/>
      <c r="J299" s="89"/>
      <c r="K299" s="89"/>
      <c r="L299" s="96"/>
      <c r="M299" s="96"/>
      <c r="N299" s="96"/>
      <c r="O299" s="96"/>
      <c r="P299" s="96"/>
      <c r="Q299" s="96"/>
      <c r="R299" s="96"/>
      <c r="S299" s="96"/>
      <c r="T299" s="96"/>
      <c r="U299" s="96"/>
      <c r="V299" s="96"/>
      <c r="W299" s="96"/>
      <c r="X299" s="96"/>
      <c r="Y299" s="96"/>
      <c r="Z299" s="96"/>
      <c r="AA299" s="96"/>
      <c r="AB299" s="96"/>
      <c r="AC299" s="96"/>
      <c r="AD299" s="96"/>
      <c r="AE299" s="96"/>
    </row>
    <row r="300">
      <c r="A300" s="97">
        <f t="shared" si="3"/>
        <v>296</v>
      </c>
      <c r="B300" s="89"/>
      <c r="C300" s="89"/>
      <c r="D300" s="89"/>
      <c r="E300" s="89"/>
      <c r="F300" s="89"/>
      <c r="G300" s="89"/>
      <c r="H300" s="89"/>
      <c r="I300" s="89"/>
      <c r="J300" s="89"/>
      <c r="K300" s="89"/>
      <c r="L300" s="96"/>
      <c r="M300" s="96"/>
      <c r="N300" s="96"/>
      <c r="O300" s="96"/>
      <c r="P300" s="96"/>
      <c r="Q300" s="96"/>
      <c r="R300" s="96"/>
      <c r="S300" s="96"/>
      <c r="T300" s="96"/>
      <c r="U300" s="96"/>
      <c r="V300" s="96"/>
      <c r="W300" s="96"/>
      <c r="X300" s="96"/>
      <c r="Y300" s="96"/>
      <c r="Z300" s="96"/>
      <c r="AA300" s="96"/>
      <c r="AB300" s="96"/>
      <c r="AC300" s="96"/>
      <c r="AD300" s="96"/>
      <c r="AE300" s="96"/>
    </row>
    <row r="301">
      <c r="A301" s="97">
        <f t="shared" si="3"/>
        <v>297</v>
      </c>
      <c r="B301" s="89"/>
      <c r="C301" s="89"/>
      <c r="D301" s="89"/>
      <c r="E301" s="89"/>
      <c r="F301" s="89"/>
      <c r="G301" s="89"/>
      <c r="H301" s="89"/>
      <c r="I301" s="89"/>
      <c r="J301" s="89"/>
      <c r="K301" s="89"/>
      <c r="L301" s="96"/>
      <c r="M301" s="96"/>
      <c r="N301" s="96"/>
      <c r="O301" s="96"/>
      <c r="P301" s="96"/>
      <c r="Q301" s="96"/>
      <c r="R301" s="96"/>
      <c r="S301" s="96"/>
      <c r="T301" s="96"/>
      <c r="U301" s="96"/>
      <c r="V301" s="96"/>
      <c r="W301" s="96"/>
      <c r="X301" s="96"/>
      <c r="Y301" s="96"/>
      <c r="Z301" s="96"/>
      <c r="AA301" s="96"/>
      <c r="AB301" s="96"/>
      <c r="AC301" s="96"/>
      <c r="AD301" s="96"/>
      <c r="AE301" s="96"/>
    </row>
    <row r="302">
      <c r="A302" s="97">
        <f t="shared" si="3"/>
        <v>298</v>
      </c>
      <c r="B302" s="89"/>
      <c r="C302" s="89"/>
      <c r="D302" s="89"/>
      <c r="E302" s="89"/>
      <c r="F302" s="89"/>
      <c r="G302" s="89"/>
      <c r="H302" s="89"/>
      <c r="I302" s="89"/>
      <c r="J302" s="89"/>
      <c r="K302" s="89"/>
      <c r="L302" s="96"/>
      <c r="M302" s="96"/>
      <c r="N302" s="96"/>
      <c r="O302" s="96"/>
      <c r="P302" s="96"/>
      <c r="Q302" s="96"/>
      <c r="R302" s="96"/>
      <c r="S302" s="96"/>
      <c r="T302" s="96"/>
      <c r="U302" s="96"/>
      <c r="V302" s="96"/>
      <c r="W302" s="96"/>
      <c r="X302" s="96"/>
      <c r="Y302" s="96"/>
      <c r="Z302" s="96"/>
      <c r="AA302" s="96"/>
      <c r="AB302" s="96"/>
      <c r="AC302" s="96"/>
      <c r="AD302" s="96"/>
      <c r="AE302" s="96"/>
    </row>
    <row r="303">
      <c r="A303" s="97">
        <f t="shared" si="3"/>
        <v>299</v>
      </c>
      <c r="B303" s="89"/>
      <c r="C303" s="89"/>
      <c r="D303" s="89"/>
      <c r="E303" s="89"/>
      <c r="F303" s="89"/>
      <c r="G303" s="89"/>
      <c r="H303" s="89"/>
      <c r="I303" s="89"/>
      <c r="J303" s="89"/>
      <c r="K303" s="89"/>
      <c r="L303" s="96"/>
      <c r="M303" s="96"/>
      <c r="N303" s="96"/>
      <c r="O303" s="96"/>
      <c r="P303" s="96"/>
      <c r="Q303" s="96"/>
      <c r="R303" s="96"/>
      <c r="S303" s="96"/>
      <c r="T303" s="96"/>
      <c r="U303" s="96"/>
      <c r="V303" s="96"/>
      <c r="W303" s="96"/>
      <c r="X303" s="96"/>
      <c r="Y303" s="96"/>
      <c r="Z303" s="96"/>
      <c r="AA303" s="96"/>
      <c r="AB303" s="96"/>
      <c r="AC303" s="96"/>
      <c r="AD303" s="96"/>
      <c r="AE303" s="96"/>
    </row>
    <row r="304">
      <c r="A304" s="97">
        <f t="shared" si="3"/>
        <v>300</v>
      </c>
      <c r="B304" s="89"/>
      <c r="C304" s="89"/>
      <c r="D304" s="89"/>
      <c r="E304" s="89"/>
      <c r="F304" s="89"/>
      <c r="G304" s="89"/>
      <c r="H304" s="89"/>
      <c r="I304" s="89"/>
      <c r="J304" s="89"/>
      <c r="K304" s="89"/>
      <c r="L304" s="96"/>
      <c r="M304" s="96"/>
      <c r="N304" s="96"/>
      <c r="O304" s="96"/>
      <c r="P304" s="96"/>
      <c r="Q304" s="96"/>
      <c r="R304" s="96"/>
      <c r="S304" s="96"/>
      <c r="T304" s="96"/>
      <c r="U304" s="96"/>
      <c r="V304" s="96"/>
      <c r="W304" s="96"/>
      <c r="X304" s="96"/>
      <c r="Y304" s="96"/>
      <c r="Z304" s="96"/>
      <c r="AA304" s="96"/>
      <c r="AB304" s="96"/>
      <c r="AC304" s="96"/>
      <c r="AD304" s="96"/>
      <c r="AE304" s="96"/>
    </row>
    <row r="305">
      <c r="B305" s="89"/>
      <c r="C305" s="89"/>
      <c r="D305" s="89"/>
      <c r="E305" s="89"/>
      <c r="F305" s="89"/>
      <c r="G305" s="89"/>
      <c r="H305" s="89"/>
      <c r="I305" s="89"/>
      <c r="J305" s="89"/>
      <c r="K305" s="89"/>
      <c r="L305" s="96"/>
      <c r="M305" s="96"/>
      <c r="N305" s="96"/>
      <c r="O305" s="96"/>
      <c r="P305" s="96"/>
      <c r="Q305" s="96"/>
      <c r="R305" s="96"/>
      <c r="S305" s="96"/>
      <c r="T305" s="96"/>
      <c r="U305" s="96"/>
      <c r="V305" s="96"/>
      <c r="W305" s="96"/>
      <c r="X305" s="96"/>
      <c r="Y305" s="96"/>
      <c r="Z305" s="96"/>
      <c r="AA305" s="96"/>
      <c r="AB305" s="96"/>
      <c r="AC305" s="96"/>
      <c r="AD305" s="96"/>
      <c r="AE305" s="96"/>
    </row>
    <row r="306">
      <c r="B306" s="89"/>
      <c r="C306" s="89"/>
      <c r="D306" s="89"/>
      <c r="E306" s="89"/>
      <c r="F306" s="89"/>
      <c r="G306" s="89"/>
      <c r="H306" s="89"/>
      <c r="I306" s="89"/>
      <c r="J306" s="89"/>
      <c r="K306" s="89"/>
      <c r="L306" s="96"/>
      <c r="M306" s="96"/>
      <c r="N306" s="96"/>
      <c r="O306" s="96"/>
      <c r="P306" s="96"/>
      <c r="Q306" s="96"/>
      <c r="R306" s="96"/>
      <c r="S306" s="96"/>
      <c r="T306" s="96"/>
      <c r="U306" s="96"/>
      <c r="V306" s="96"/>
      <c r="W306" s="96"/>
      <c r="X306" s="96"/>
      <c r="Y306" s="96"/>
      <c r="Z306" s="96"/>
      <c r="AA306" s="96"/>
      <c r="AB306" s="96"/>
      <c r="AC306" s="96"/>
      <c r="AD306" s="96"/>
      <c r="AE306" s="96"/>
    </row>
    <row r="307">
      <c r="B307" s="89"/>
      <c r="C307" s="89"/>
      <c r="D307" s="89"/>
      <c r="E307" s="89"/>
      <c r="F307" s="89"/>
      <c r="G307" s="89"/>
      <c r="H307" s="89"/>
      <c r="I307" s="89"/>
      <c r="J307" s="89"/>
      <c r="K307" s="89"/>
      <c r="L307" s="96"/>
      <c r="M307" s="96"/>
      <c r="N307" s="96"/>
      <c r="O307" s="96"/>
      <c r="P307" s="96"/>
      <c r="Q307" s="96"/>
      <c r="R307" s="96"/>
      <c r="S307" s="96"/>
      <c r="T307" s="96"/>
      <c r="U307" s="96"/>
      <c r="V307" s="96"/>
      <c r="W307" s="96"/>
      <c r="X307" s="96"/>
      <c r="Y307" s="96"/>
      <c r="Z307" s="96"/>
      <c r="AA307" s="96"/>
      <c r="AB307" s="96"/>
      <c r="AC307" s="96"/>
      <c r="AD307" s="96"/>
      <c r="AE307" s="96"/>
    </row>
    <row r="308">
      <c r="B308" s="89"/>
      <c r="C308" s="89"/>
      <c r="D308" s="89"/>
      <c r="E308" s="89"/>
      <c r="F308" s="89"/>
      <c r="G308" s="89"/>
      <c r="H308" s="89"/>
      <c r="I308" s="89"/>
      <c r="J308" s="89"/>
      <c r="K308" s="89"/>
      <c r="L308" s="96"/>
      <c r="M308" s="96"/>
      <c r="N308" s="96"/>
      <c r="O308" s="96"/>
      <c r="P308" s="96"/>
      <c r="Q308" s="96"/>
      <c r="R308" s="96"/>
      <c r="S308" s="96"/>
      <c r="T308" s="96"/>
      <c r="U308" s="96"/>
      <c r="V308" s="96"/>
      <c r="W308" s="96"/>
      <c r="X308" s="96"/>
      <c r="Y308" s="96"/>
      <c r="Z308" s="96"/>
      <c r="AA308" s="96"/>
      <c r="AB308" s="96"/>
      <c r="AC308" s="96"/>
      <c r="AD308" s="96"/>
      <c r="AE308" s="96"/>
    </row>
    <row r="309">
      <c r="B309" s="89"/>
      <c r="C309" s="89"/>
      <c r="D309" s="89"/>
      <c r="E309" s="89"/>
      <c r="F309" s="89"/>
      <c r="G309" s="89"/>
      <c r="H309" s="89"/>
      <c r="I309" s="89"/>
      <c r="J309" s="89"/>
      <c r="K309" s="89"/>
      <c r="L309" s="96"/>
      <c r="M309" s="96"/>
      <c r="N309" s="96"/>
      <c r="O309" s="96"/>
      <c r="P309" s="96"/>
      <c r="Q309" s="96"/>
      <c r="R309" s="96"/>
      <c r="S309" s="96"/>
      <c r="T309" s="96"/>
      <c r="U309" s="96"/>
      <c r="V309" s="96"/>
      <c r="W309" s="96"/>
      <c r="X309" s="96"/>
      <c r="Y309" s="96"/>
      <c r="Z309" s="96"/>
      <c r="AA309" s="96"/>
      <c r="AB309" s="96"/>
      <c r="AC309" s="96"/>
      <c r="AD309" s="96"/>
      <c r="AE309" s="96"/>
    </row>
    <row r="310">
      <c r="B310" s="89"/>
      <c r="C310" s="89"/>
      <c r="D310" s="89"/>
      <c r="E310" s="89"/>
      <c r="F310" s="89"/>
      <c r="G310" s="89"/>
      <c r="H310" s="89"/>
      <c r="I310" s="89"/>
      <c r="J310" s="89"/>
      <c r="K310" s="89"/>
      <c r="L310" s="96"/>
      <c r="M310" s="96"/>
      <c r="N310" s="96"/>
      <c r="O310" s="96"/>
      <c r="P310" s="96"/>
      <c r="Q310" s="96"/>
      <c r="R310" s="96"/>
      <c r="S310" s="96"/>
      <c r="T310" s="96"/>
      <c r="U310" s="96"/>
      <c r="V310" s="96"/>
      <c r="W310" s="96"/>
      <c r="X310" s="96"/>
      <c r="Y310" s="96"/>
      <c r="Z310" s="96"/>
      <c r="AA310" s="96"/>
      <c r="AB310" s="96"/>
      <c r="AC310" s="96"/>
      <c r="AD310" s="96"/>
      <c r="AE310" s="96"/>
    </row>
    <row r="311">
      <c r="B311" s="89"/>
      <c r="C311" s="89"/>
      <c r="D311" s="89"/>
      <c r="E311" s="89"/>
      <c r="F311" s="89"/>
      <c r="G311" s="89"/>
      <c r="H311" s="89"/>
      <c r="I311" s="89"/>
      <c r="J311" s="89"/>
      <c r="K311" s="89"/>
      <c r="L311" s="96"/>
      <c r="M311" s="96"/>
      <c r="N311" s="96"/>
      <c r="O311" s="96"/>
      <c r="P311" s="96"/>
      <c r="Q311" s="96"/>
      <c r="R311" s="96"/>
      <c r="S311" s="96"/>
      <c r="T311" s="96"/>
      <c r="U311" s="96"/>
      <c r="V311" s="96"/>
      <c r="W311" s="96"/>
      <c r="X311" s="96"/>
      <c r="Y311" s="96"/>
      <c r="Z311" s="96"/>
      <c r="AA311" s="96"/>
      <c r="AB311" s="96"/>
      <c r="AC311" s="96"/>
      <c r="AD311" s="96"/>
      <c r="AE311" s="96"/>
    </row>
    <row r="312">
      <c r="B312" s="89"/>
      <c r="C312" s="89"/>
      <c r="D312" s="89"/>
      <c r="E312" s="89"/>
      <c r="F312" s="89"/>
      <c r="G312" s="89"/>
      <c r="H312" s="89"/>
      <c r="I312" s="89"/>
      <c r="J312" s="89"/>
      <c r="K312" s="89"/>
      <c r="L312" s="96"/>
      <c r="M312" s="96"/>
      <c r="N312" s="96"/>
      <c r="O312" s="96"/>
      <c r="P312" s="96"/>
      <c r="Q312" s="96"/>
      <c r="R312" s="96"/>
      <c r="S312" s="96"/>
      <c r="T312" s="96"/>
      <c r="U312" s="96"/>
      <c r="V312" s="96"/>
      <c r="W312" s="96"/>
      <c r="X312" s="96"/>
      <c r="Y312" s="96"/>
      <c r="Z312" s="96"/>
      <c r="AA312" s="96"/>
      <c r="AB312" s="96"/>
      <c r="AC312" s="96"/>
      <c r="AD312" s="96"/>
      <c r="AE312" s="96"/>
    </row>
    <row r="313">
      <c r="B313" s="89"/>
      <c r="C313" s="89"/>
      <c r="D313" s="89"/>
      <c r="E313" s="89"/>
      <c r="F313" s="89"/>
      <c r="G313" s="89"/>
      <c r="H313" s="89"/>
      <c r="I313" s="89"/>
      <c r="J313" s="89"/>
      <c r="K313" s="89"/>
      <c r="L313" s="96"/>
      <c r="M313" s="96"/>
      <c r="N313" s="96"/>
      <c r="O313" s="96"/>
      <c r="P313" s="96"/>
      <c r="Q313" s="96"/>
      <c r="R313" s="96"/>
      <c r="S313" s="96"/>
      <c r="T313" s="96"/>
      <c r="U313" s="96"/>
      <c r="V313" s="96"/>
      <c r="W313" s="96"/>
      <c r="X313" s="96"/>
      <c r="Y313" s="96"/>
      <c r="Z313" s="96"/>
      <c r="AA313" s="96"/>
      <c r="AB313" s="96"/>
      <c r="AC313" s="96"/>
      <c r="AD313" s="96"/>
      <c r="AE313" s="96"/>
    </row>
    <row r="314">
      <c r="B314" s="89"/>
      <c r="C314" s="89"/>
      <c r="D314" s="89"/>
      <c r="E314" s="89"/>
      <c r="F314" s="89"/>
      <c r="G314" s="89"/>
      <c r="H314" s="89"/>
      <c r="I314" s="89"/>
      <c r="J314" s="89"/>
      <c r="K314" s="89"/>
      <c r="L314" s="96"/>
      <c r="M314" s="96"/>
      <c r="N314" s="96"/>
      <c r="O314" s="96"/>
      <c r="P314" s="96"/>
      <c r="Q314" s="96"/>
      <c r="R314" s="96"/>
      <c r="S314" s="96"/>
      <c r="T314" s="96"/>
      <c r="U314" s="96"/>
      <c r="V314" s="96"/>
      <c r="W314" s="96"/>
      <c r="X314" s="96"/>
      <c r="Y314" s="96"/>
      <c r="Z314" s="96"/>
      <c r="AA314" s="96"/>
      <c r="AB314" s="96"/>
      <c r="AC314" s="96"/>
      <c r="AD314" s="96"/>
      <c r="AE314" s="96"/>
    </row>
    <row r="315">
      <c r="B315" s="89"/>
      <c r="C315" s="89"/>
      <c r="D315" s="89"/>
      <c r="E315" s="89"/>
      <c r="F315" s="89"/>
      <c r="G315" s="89"/>
      <c r="H315" s="89"/>
      <c r="I315" s="89"/>
      <c r="J315" s="89"/>
      <c r="K315" s="89"/>
    </row>
    <row r="316">
      <c r="B316" s="89"/>
      <c r="C316" s="89"/>
      <c r="D316" s="89"/>
      <c r="E316" s="89"/>
      <c r="F316" s="89"/>
      <c r="G316" s="89"/>
      <c r="H316" s="89"/>
      <c r="I316" s="89"/>
      <c r="J316" s="89"/>
      <c r="K316" s="89"/>
    </row>
    <row r="317">
      <c r="B317" s="89"/>
      <c r="C317" s="89"/>
      <c r="D317" s="89"/>
      <c r="E317" s="89"/>
      <c r="F317" s="89"/>
      <c r="G317" s="89"/>
      <c r="H317" s="89"/>
      <c r="I317" s="89"/>
      <c r="J317" s="89"/>
      <c r="K317" s="89"/>
    </row>
    <row r="318">
      <c r="B318" s="89"/>
      <c r="C318" s="89"/>
      <c r="D318" s="89"/>
      <c r="E318" s="89"/>
      <c r="F318" s="89"/>
      <c r="G318" s="89"/>
      <c r="H318" s="89"/>
      <c r="I318" s="89"/>
      <c r="J318" s="89"/>
      <c r="K318" s="89"/>
    </row>
    <row r="319">
      <c r="B319" s="89"/>
      <c r="C319" s="89"/>
      <c r="D319" s="89"/>
      <c r="E319" s="89"/>
      <c r="F319" s="89"/>
      <c r="G319" s="89"/>
      <c r="H319" s="89"/>
      <c r="I319" s="89"/>
      <c r="J319" s="89"/>
      <c r="K319" s="89"/>
    </row>
    <row r="320">
      <c r="B320" s="89"/>
      <c r="C320" s="89"/>
      <c r="D320" s="89"/>
      <c r="E320" s="89"/>
      <c r="F320" s="89"/>
      <c r="G320" s="89"/>
      <c r="H320" s="89"/>
      <c r="I320" s="89"/>
      <c r="J320" s="89"/>
      <c r="K320" s="89"/>
    </row>
    <row r="321">
      <c r="B321" s="89"/>
      <c r="C321" s="89"/>
      <c r="D321" s="89"/>
      <c r="E321" s="89"/>
      <c r="F321" s="89"/>
      <c r="G321" s="89"/>
      <c r="H321" s="89"/>
      <c r="I321" s="89"/>
      <c r="J321" s="89"/>
      <c r="K321" s="89"/>
    </row>
    <row r="322">
      <c r="B322" s="89"/>
      <c r="C322" s="89"/>
      <c r="D322" s="89"/>
      <c r="E322" s="89"/>
      <c r="F322" s="89"/>
      <c r="G322" s="89"/>
      <c r="H322" s="89"/>
      <c r="I322" s="89"/>
      <c r="J322" s="89"/>
      <c r="K322" s="89"/>
    </row>
    <row r="323">
      <c r="B323" s="89"/>
      <c r="C323" s="89"/>
      <c r="D323" s="89"/>
      <c r="E323" s="89"/>
      <c r="F323" s="89"/>
      <c r="G323" s="89"/>
      <c r="H323" s="89"/>
      <c r="I323" s="89"/>
      <c r="J323" s="89"/>
      <c r="K323" s="89"/>
    </row>
    <row r="324">
      <c r="B324" s="89"/>
      <c r="C324" s="89"/>
      <c r="D324" s="89"/>
      <c r="E324" s="89"/>
      <c r="F324" s="89"/>
      <c r="G324" s="89"/>
      <c r="H324" s="89"/>
      <c r="I324" s="89"/>
      <c r="J324" s="89"/>
      <c r="K324" s="89"/>
    </row>
    <row r="325">
      <c r="B325" s="89"/>
      <c r="C325" s="89"/>
      <c r="D325" s="89"/>
      <c r="E325" s="89"/>
      <c r="F325" s="89"/>
      <c r="G325" s="89"/>
      <c r="H325" s="89"/>
      <c r="I325" s="89"/>
      <c r="J325" s="89"/>
      <c r="K325" s="89"/>
    </row>
    <row r="326">
      <c r="B326" s="89"/>
      <c r="C326" s="89"/>
      <c r="D326" s="89"/>
      <c r="E326" s="89"/>
      <c r="F326" s="89"/>
      <c r="G326" s="89"/>
      <c r="H326" s="89"/>
      <c r="I326" s="89"/>
      <c r="J326" s="89"/>
      <c r="K326" s="89"/>
    </row>
    <row r="327">
      <c r="B327" s="89"/>
      <c r="C327" s="89"/>
      <c r="D327" s="89"/>
      <c r="E327" s="89"/>
      <c r="F327" s="89"/>
      <c r="G327" s="89"/>
      <c r="H327" s="89"/>
      <c r="I327" s="89"/>
      <c r="J327" s="89"/>
      <c r="K327" s="89"/>
    </row>
    <row r="328">
      <c r="B328" s="89"/>
      <c r="C328" s="89"/>
      <c r="D328" s="89"/>
      <c r="E328" s="89"/>
      <c r="F328" s="89"/>
      <c r="G328" s="89"/>
      <c r="H328" s="89"/>
      <c r="I328" s="89"/>
      <c r="J328" s="89"/>
      <c r="K328" s="89"/>
    </row>
    <row r="329">
      <c r="B329" s="89"/>
      <c r="C329" s="89"/>
      <c r="D329" s="89"/>
      <c r="E329" s="89"/>
      <c r="F329" s="89"/>
      <c r="G329" s="89"/>
      <c r="H329" s="89"/>
      <c r="I329" s="89"/>
      <c r="J329" s="89"/>
      <c r="K329" s="89"/>
    </row>
    <row r="330">
      <c r="B330" s="89"/>
      <c r="C330" s="89"/>
      <c r="D330" s="89"/>
      <c r="E330" s="89"/>
      <c r="F330" s="89"/>
      <c r="G330" s="89"/>
      <c r="H330" s="89"/>
      <c r="I330" s="89"/>
      <c r="J330" s="89"/>
      <c r="K330" s="89"/>
    </row>
    <row r="331">
      <c r="B331" s="89"/>
      <c r="C331" s="89"/>
      <c r="D331" s="89"/>
      <c r="E331" s="89"/>
      <c r="F331" s="89"/>
      <c r="G331" s="89"/>
      <c r="H331" s="89"/>
      <c r="I331" s="89"/>
      <c r="J331" s="89"/>
      <c r="K331" s="89"/>
    </row>
    <row r="332">
      <c r="B332" s="89"/>
      <c r="C332" s="89"/>
      <c r="D332" s="89"/>
      <c r="E332" s="89"/>
      <c r="F332" s="89"/>
      <c r="G332" s="89"/>
      <c r="H332" s="89"/>
      <c r="I332" s="89"/>
      <c r="J332" s="89"/>
      <c r="K332" s="89"/>
    </row>
    <row r="333">
      <c r="B333" s="89"/>
      <c r="C333" s="89"/>
      <c r="D333" s="89"/>
      <c r="E333" s="89"/>
      <c r="F333" s="89"/>
      <c r="G333" s="89"/>
      <c r="H333" s="89"/>
      <c r="I333" s="89"/>
      <c r="J333" s="89"/>
      <c r="K333" s="89"/>
    </row>
    <row r="334">
      <c r="B334" s="89"/>
      <c r="C334" s="89"/>
      <c r="D334" s="89"/>
      <c r="E334" s="89"/>
      <c r="F334" s="89"/>
      <c r="G334" s="89"/>
      <c r="H334" s="89"/>
      <c r="I334" s="89"/>
      <c r="J334" s="89"/>
      <c r="K334" s="89"/>
    </row>
    <row r="335">
      <c r="B335" s="89"/>
      <c r="C335" s="89"/>
      <c r="D335" s="89"/>
      <c r="E335" s="89"/>
      <c r="F335" s="89"/>
      <c r="G335" s="89"/>
      <c r="H335" s="89"/>
      <c r="I335" s="89"/>
      <c r="J335" s="89"/>
      <c r="K335" s="89"/>
    </row>
    <row r="336">
      <c r="B336" s="89"/>
      <c r="C336" s="89"/>
      <c r="D336" s="89"/>
      <c r="E336" s="89"/>
      <c r="F336" s="89"/>
      <c r="G336" s="89"/>
      <c r="H336" s="89"/>
      <c r="I336" s="89"/>
      <c r="J336" s="89"/>
      <c r="K336" s="89"/>
    </row>
    <row r="337">
      <c r="B337" s="89"/>
      <c r="C337" s="89"/>
      <c r="D337" s="89"/>
      <c r="E337" s="89"/>
      <c r="F337" s="89"/>
      <c r="G337" s="89"/>
      <c r="H337" s="89"/>
      <c r="I337" s="89"/>
      <c r="J337" s="89"/>
      <c r="K337" s="89"/>
    </row>
    <row r="338">
      <c r="B338" s="89"/>
      <c r="C338" s="89"/>
      <c r="D338" s="89"/>
      <c r="E338" s="89"/>
      <c r="F338" s="89"/>
      <c r="G338" s="89"/>
      <c r="H338" s="89"/>
      <c r="I338" s="89"/>
      <c r="J338" s="89"/>
      <c r="K338" s="89"/>
    </row>
    <row r="339">
      <c r="B339" s="89"/>
      <c r="C339" s="89"/>
      <c r="D339" s="89"/>
      <c r="E339" s="89"/>
      <c r="F339" s="89"/>
      <c r="G339" s="89"/>
      <c r="H339" s="89"/>
      <c r="I339" s="89"/>
      <c r="J339" s="89"/>
      <c r="K339" s="89"/>
    </row>
    <row r="340">
      <c r="B340" s="89"/>
      <c r="C340" s="89"/>
      <c r="D340" s="89"/>
      <c r="E340" s="89"/>
      <c r="F340" s="89"/>
      <c r="G340" s="89"/>
      <c r="H340" s="89"/>
      <c r="I340" s="89"/>
      <c r="J340" s="89"/>
      <c r="K340" s="89"/>
    </row>
    <row r="341">
      <c r="B341" s="89"/>
      <c r="C341" s="89"/>
      <c r="D341" s="89"/>
      <c r="E341" s="89"/>
      <c r="F341" s="89"/>
      <c r="G341" s="89"/>
      <c r="H341" s="89"/>
      <c r="I341" s="89"/>
      <c r="J341" s="89"/>
      <c r="K341" s="89"/>
    </row>
    <row r="342">
      <c r="B342" s="89"/>
      <c r="C342" s="89"/>
      <c r="D342" s="89"/>
      <c r="E342" s="89"/>
      <c r="F342" s="89"/>
      <c r="G342" s="89"/>
      <c r="H342" s="89"/>
      <c r="I342" s="89"/>
      <c r="J342" s="89"/>
      <c r="K342" s="89"/>
    </row>
    <row r="343">
      <c r="B343" s="89"/>
      <c r="C343" s="89"/>
      <c r="D343" s="89"/>
      <c r="E343" s="89"/>
      <c r="F343" s="89"/>
      <c r="G343" s="89"/>
      <c r="H343" s="89"/>
      <c r="I343" s="89"/>
      <c r="J343" s="89"/>
      <c r="K343" s="89"/>
    </row>
    <row r="344">
      <c r="B344" s="89"/>
      <c r="C344" s="89"/>
      <c r="D344" s="89"/>
      <c r="E344" s="89"/>
      <c r="F344" s="89"/>
      <c r="G344" s="89"/>
      <c r="H344" s="89"/>
      <c r="I344" s="89"/>
      <c r="J344" s="89"/>
      <c r="K344" s="89"/>
    </row>
    <row r="345">
      <c r="B345" s="89"/>
      <c r="C345" s="89"/>
      <c r="D345" s="89"/>
      <c r="E345" s="89"/>
      <c r="F345" s="89"/>
      <c r="G345" s="89"/>
      <c r="H345" s="89"/>
      <c r="I345" s="89"/>
      <c r="J345" s="89"/>
      <c r="K345" s="89"/>
    </row>
    <row r="346">
      <c r="B346" s="89"/>
      <c r="C346" s="89"/>
      <c r="D346" s="89"/>
      <c r="E346" s="89"/>
      <c r="F346" s="89"/>
      <c r="G346" s="89"/>
      <c r="H346" s="89"/>
      <c r="I346" s="89"/>
      <c r="J346" s="89"/>
      <c r="K346" s="89"/>
    </row>
    <row r="347">
      <c r="B347" s="89"/>
      <c r="C347" s="89"/>
      <c r="D347" s="89"/>
      <c r="E347" s="89"/>
      <c r="F347" s="89"/>
      <c r="G347" s="89"/>
      <c r="H347" s="89"/>
      <c r="I347" s="89"/>
      <c r="J347" s="89"/>
      <c r="K347" s="89"/>
    </row>
    <row r="348">
      <c r="B348" s="89"/>
      <c r="C348" s="89"/>
      <c r="D348" s="89"/>
      <c r="E348" s="89"/>
      <c r="F348" s="89"/>
      <c r="G348" s="89"/>
      <c r="H348" s="89"/>
      <c r="I348" s="89"/>
      <c r="J348" s="89"/>
      <c r="K348" s="89"/>
    </row>
    <row r="349">
      <c r="B349" s="89"/>
      <c r="C349" s="89"/>
      <c r="D349" s="89"/>
      <c r="E349" s="89"/>
      <c r="F349" s="89"/>
      <c r="G349" s="89"/>
      <c r="H349" s="89"/>
      <c r="I349" s="89"/>
      <c r="J349" s="89"/>
      <c r="K349" s="89"/>
    </row>
    <row r="350">
      <c r="B350" s="89"/>
      <c r="C350" s="89"/>
      <c r="D350" s="89"/>
      <c r="E350" s="89"/>
      <c r="F350" s="89"/>
      <c r="G350" s="89"/>
      <c r="H350" s="89"/>
      <c r="I350" s="89"/>
      <c r="J350" s="89"/>
      <c r="K350" s="89"/>
    </row>
    <row r="351">
      <c r="B351" s="89"/>
      <c r="C351" s="89"/>
      <c r="D351" s="89"/>
      <c r="E351" s="89"/>
      <c r="F351" s="89"/>
      <c r="G351" s="89"/>
      <c r="H351" s="89"/>
      <c r="I351" s="89"/>
      <c r="J351" s="89"/>
      <c r="K351" s="89"/>
    </row>
    <row r="352">
      <c r="B352" s="89"/>
      <c r="C352" s="89"/>
      <c r="D352" s="89"/>
      <c r="E352" s="89"/>
      <c r="F352" s="89"/>
      <c r="G352" s="89"/>
      <c r="H352" s="89"/>
      <c r="I352" s="89"/>
      <c r="J352" s="89"/>
      <c r="K352" s="89"/>
    </row>
    <row r="353">
      <c r="B353" s="89"/>
      <c r="C353" s="89"/>
      <c r="D353" s="89"/>
      <c r="E353" s="89"/>
      <c r="F353" s="89"/>
      <c r="G353" s="89"/>
      <c r="H353" s="89"/>
      <c r="I353" s="89"/>
      <c r="J353" s="89"/>
      <c r="K353" s="89"/>
    </row>
    <row r="354">
      <c r="B354" s="89"/>
      <c r="C354" s="89"/>
      <c r="D354" s="89"/>
      <c r="E354" s="89"/>
      <c r="F354" s="89"/>
      <c r="G354" s="89"/>
      <c r="H354" s="89"/>
      <c r="I354" s="89"/>
      <c r="J354" s="89"/>
      <c r="K354" s="89"/>
    </row>
    <row r="355">
      <c r="B355" s="89"/>
      <c r="C355" s="89"/>
      <c r="D355" s="89"/>
      <c r="E355" s="89"/>
      <c r="F355" s="89"/>
      <c r="G355" s="89"/>
      <c r="H355" s="89"/>
      <c r="I355" s="89"/>
      <c r="J355" s="89"/>
      <c r="K355" s="89"/>
    </row>
    <row r="356">
      <c r="B356" s="89"/>
      <c r="C356" s="89"/>
      <c r="D356" s="89"/>
      <c r="E356" s="89"/>
      <c r="F356" s="89"/>
      <c r="G356" s="89"/>
      <c r="H356" s="89"/>
      <c r="I356" s="89"/>
      <c r="J356" s="89"/>
      <c r="K356" s="89"/>
    </row>
    <row r="357">
      <c r="B357" s="89"/>
      <c r="C357" s="89"/>
      <c r="D357" s="89"/>
      <c r="E357" s="89"/>
      <c r="F357" s="89"/>
      <c r="G357" s="89"/>
      <c r="H357" s="89"/>
      <c r="I357" s="89"/>
      <c r="J357" s="89"/>
      <c r="K357" s="89"/>
    </row>
    <row r="358">
      <c r="B358" s="89"/>
      <c r="C358" s="89"/>
      <c r="D358" s="89"/>
      <c r="E358" s="89"/>
      <c r="F358" s="89"/>
      <c r="G358" s="89"/>
      <c r="H358" s="89"/>
      <c r="I358" s="89"/>
      <c r="J358" s="89"/>
      <c r="K358" s="89"/>
    </row>
    <row r="359">
      <c r="B359" s="89"/>
      <c r="C359" s="89"/>
      <c r="D359" s="89"/>
      <c r="E359" s="89"/>
      <c r="F359" s="89"/>
      <c r="G359" s="89"/>
      <c r="H359" s="89"/>
      <c r="I359" s="89"/>
      <c r="J359" s="89"/>
      <c r="K359" s="89"/>
    </row>
    <row r="360">
      <c r="B360" s="89"/>
      <c r="C360" s="89"/>
      <c r="D360" s="89"/>
      <c r="E360" s="89"/>
      <c r="F360" s="89"/>
      <c r="G360" s="89"/>
      <c r="H360" s="89"/>
      <c r="I360" s="89"/>
      <c r="J360" s="89"/>
      <c r="K360" s="89"/>
    </row>
    <row r="361">
      <c r="B361" s="89"/>
      <c r="C361" s="89"/>
      <c r="D361" s="89"/>
      <c r="E361" s="89"/>
      <c r="F361" s="89"/>
      <c r="G361" s="89"/>
      <c r="H361" s="89"/>
      <c r="I361" s="89"/>
      <c r="J361" s="89"/>
      <c r="K361" s="89"/>
    </row>
    <row r="362">
      <c r="B362" s="89"/>
      <c r="C362" s="89"/>
      <c r="D362" s="89"/>
      <c r="E362" s="89"/>
      <c r="F362" s="89"/>
      <c r="G362" s="89"/>
      <c r="H362" s="89"/>
      <c r="I362" s="89"/>
      <c r="J362" s="89"/>
      <c r="K362" s="89"/>
    </row>
    <row r="363">
      <c r="B363" s="89"/>
      <c r="C363" s="89"/>
      <c r="D363" s="89"/>
      <c r="E363" s="89"/>
      <c r="F363" s="89"/>
      <c r="G363" s="89"/>
      <c r="H363" s="89"/>
      <c r="I363" s="89"/>
      <c r="J363" s="89"/>
      <c r="K363" s="89"/>
    </row>
    <row r="364">
      <c r="B364" s="89"/>
      <c r="C364" s="89"/>
      <c r="D364" s="89"/>
      <c r="E364" s="89"/>
      <c r="F364" s="89"/>
      <c r="G364" s="89"/>
      <c r="H364" s="89"/>
      <c r="I364" s="89"/>
      <c r="J364" s="89"/>
      <c r="K364" s="89"/>
    </row>
    <row r="365">
      <c r="B365" s="89"/>
      <c r="C365" s="89"/>
      <c r="D365" s="89"/>
      <c r="E365" s="89"/>
      <c r="F365" s="89"/>
      <c r="G365" s="89"/>
      <c r="H365" s="89"/>
      <c r="I365" s="89"/>
      <c r="J365" s="89"/>
      <c r="K365" s="89"/>
    </row>
    <row r="366">
      <c r="B366" s="89"/>
      <c r="C366" s="89"/>
      <c r="D366" s="89"/>
      <c r="E366" s="89"/>
      <c r="F366" s="89"/>
      <c r="G366" s="89"/>
      <c r="H366" s="89"/>
      <c r="I366" s="89"/>
      <c r="J366" s="89"/>
      <c r="K366" s="89"/>
    </row>
    <row r="367">
      <c r="B367" s="89"/>
      <c r="C367" s="89"/>
      <c r="D367" s="89"/>
      <c r="E367" s="89"/>
      <c r="F367" s="89"/>
      <c r="G367" s="89"/>
      <c r="H367" s="89"/>
      <c r="I367" s="89"/>
      <c r="J367" s="89"/>
      <c r="K367" s="89"/>
    </row>
    <row r="368">
      <c r="B368" s="89"/>
      <c r="C368" s="89"/>
      <c r="D368" s="89"/>
      <c r="E368" s="89"/>
      <c r="F368" s="89"/>
      <c r="G368" s="89"/>
      <c r="H368" s="89"/>
      <c r="I368" s="89"/>
      <c r="J368" s="89"/>
      <c r="K368" s="89"/>
    </row>
    <row r="369">
      <c r="B369" s="89"/>
      <c r="C369" s="89"/>
      <c r="D369" s="89"/>
      <c r="E369" s="89"/>
      <c r="F369" s="89"/>
      <c r="G369" s="89"/>
      <c r="H369" s="89"/>
      <c r="I369" s="89"/>
      <c r="J369" s="89"/>
      <c r="K369" s="89"/>
    </row>
    <row r="370">
      <c r="B370" s="89"/>
      <c r="C370" s="89"/>
      <c r="D370" s="89"/>
      <c r="E370" s="89"/>
      <c r="F370" s="89"/>
      <c r="G370" s="89"/>
      <c r="H370" s="89"/>
      <c r="I370" s="89"/>
      <c r="J370" s="89"/>
      <c r="K370" s="89"/>
    </row>
    <row r="371">
      <c r="B371" s="89"/>
      <c r="C371" s="89"/>
      <c r="D371" s="89"/>
      <c r="E371" s="89"/>
      <c r="F371" s="89"/>
      <c r="G371" s="89"/>
      <c r="H371" s="89"/>
      <c r="I371" s="89"/>
      <c r="J371" s="89"/>
      <c r="K371" s="89"/>
    </row>
    <row r="372">
      <c r="B372" s="89"/>
      <c r="C372" s="89"/>
      <c r="D372" s="89"/>
      <c r="E372" s="89"/>
      <c r="F372" s="89"/>
      <c r="G372" s="89"/>
      <c r="H372" s="89"/>
      <c r="I372" s="89"/>
      <c r="J372" s="89"/>
      <c r="K372" s="89"/>
    </row>
    <row r="373">
      <c r="B373" s="89"/>
      <c r="C373" s="89"/>
      <c r="D373" s="89"/>
      <c r="E373" s="89"/>
      <c r="F373" s="89"/>
      <c r="G373" s="89"/>
      <c r="H373" s="89"/>
      <c r="I373" s="89"/>
      <c r="J373" s="89"/>
      <c r="K373" s="89"/>
    </row>
    <row r="374">
      <c r="B374" s="89"/>
      <c r="C374" s="89"/>
      <c r="D374" s="89"/>
      <c r="E374" s="89"/>
      <c r="F374" s="89"/>
      <c r="G374" s="89"/>
      <c r="H374" s="89"/>
      <c r="I374" s="89"/>
      <c r="J374" s="89"/>
      <c r="K374" s="89"/>
    </row>
    <row r="375">
      <c r="B375" s="89"/>
      <c r="C375" s="89"/>
      <c r="D375" s="89"/>
      <c r="E375" s="89"/>
      <c r="F375" s="89"/>
      <c r="G375" s="89"/>
      <c r="H375" s="89"/>
      <c r="I375" s="89"/>
      <c r="J375" s="89"/>
      <c r="K375" s="89"/>
    </row>
    <row r="376">
      <c r="B376" s="89"/>
      <c r="C376" s="89"/>
      <c r="D376" s="89"/>
      <c r="E376" s="89"/>
      <c r="F376" s="89"/>
      <c r="G376" s="89"/>
      <c r="H376" s="89"/>
      <c r="I376" s="89"/>
      <c r="J376" s="89"/>
      <c r="K376" s="89"/>
    </row>
    <row r="377">
      <c r="B377" s="89"/>
      <c r="C377" s="89"/>
      <c r="D377" s="89"/>
      <c r="E377" s="89"/>
      <c r="F377" s="89"/>
      <c r="G377" s="89"/>
      <c r="H377" s="89"/>
      <c r="I377" s="89"/>
      <c r="J377" s="89"/>
      <c r="K377" s="89"/>
    </row>
    <row r="378">
      <c r="B378" s="89"/>
      <c r="C378" s="89"/>
      <c r="D378" s="89"/>
      <c r="E378" s="89"/>
      <c r="F378" s="89"/>
      <c r="G378" s="89"/>
      <c r="H378" s="89"/>
      <c r="I378" s="89"/>
      <c r="J378" s="89"/>
      <c r="K378" s="89"/>
    </row>
    <row r="379">
      <c r="B379" s="89"/>
      <c r="C379" s="89"/>
      <c r="D379" s="89"/>
      <c r="E379" s="89"/>
      <c r="F379" s="89"/>
      <c r="G379" s="89"/>
      <c r="H379" s="89"/>
      <c r="I379" s="89"/>
      <c r="J379" s="89"/>
      <c r="K379" s="89"/>
    </row>
    <row r="380">
      <c r="B380" s="89"/>
      <c r="C380" s="89"/>
      <c r="D380" s="89"/>
      <c r="E380" s="89"/>
      <c r="F380" s="89"/>
      <c r="G380" s="89"/>
      <c r="H380" s="89"/>
      <c r="I380" s="89"/>
      <c r="J380" s="89"/>
      <c r="K380" s="89"/>
    </row>
    <row r="381">
      <c r="B381" s="89"/>
      <c r="C381" s="89"/>
      <c r="D381" s="89"/>
      <c r="E381" s="89"/>
      <c r="F381" s="89"/>
      <c r="G381" s="89"/>
      <c r="H381" s="89"/>
      <c r="I381" s="89"/>
      <c r="J381" s="89"/>
      <c r="K381" s="89"/>
    </row>
    <row r="382">
      <c r="B382" s="89"/>
      <c r="C382" s="89"/>
      <c r="D382" s="89"/>
      <c r="E382" s="89"/>
      <c r="F382" s="89"/>
      <c r="G382" s="89"/>
      <c r="H382" s="89"/>
      <c r="I382" s="89"/>
      <c r="J382" s="89"/>
      <c r="K382" s="89"/>
    </row>
    <row r="383">
      <c r="B383" s="89"/>
      <c r="C383" s="89"/>
      <c r="D383" s="89"/>
      <c r="E383" s="89"/>
      <c r="F383" s="89"/>
      <c r="G383" s="89"/>
      <c r="H383" s="89"/>
      <c r="I383" s="89"/>
      <c r="J383" s="89"/>
      <c r="K383" s="89"/>
    </row>
    <row r="384">
      <c r="B384" s="89"/>
      <c r="C384" s="89"/>
      <c r="D384" s="89"/>
      <c r="E384" s="89"/>
      <c r="F384" s="89"/>
      <c r="G384" s="89"/>
      <c r="H384" s="89"/>
      <c r="I384" s="89"/>
      <c r="J384" s="89"/>
      <c r="K384" s="89"/>
    </row>
    <row r="385">
      <c r="B385" s="89"/>
      <c r="C385" s="89"/>
      <c r="D385" s="89"/>
      <c r="E385" s="89"/>
      <c r="F385" s="89"/>
      <c r="G385" s="89"/>
      <c r="H385" s="89"/>
      <c r="I385" s="89"/>
      <c r="J385" s="89"/>
      <c r="K385" s="89"/>
    </row>
    <row r="386">
      <c r="B386" s="89"/>
      <c r="C386" s="89"/>
      <c r="D386" s="89"/>
      <c r="E386" s="89"/>
      <c r="F386" s="89"/>
      <c r="G386" s="89"/>
      <c r="H386" s="89"/>
      <c r="I386" s="89"/>
      <c r="J386" s="89"/>
      <c r="K386" s="89"/>
    </row>
    <row r="387">
      <c r="B387" s="89"/>
      <c r="C387" s="89"/>
      <c r="D387" s="89"/>
      <c r="E387" s="89"/>
      <c r="F387" s="89"/>
      <c r="G387" s="89"/>
      <c r="H387" s="89"/>
      <c r="I387" s="89"/>
      <c r="J387" s="89"/>
      <c r="K387" s="89"/>
    </row>
    <row r="388">
      <c r="B388" s="89"/>
      <c r="C388" s="89"/>
      <c r="D388" s="89"/>
      <c r="E388" s="89"/>
      <c r="F388" s="89"/>
      <c r="G388" s="89"/>
      <c r="H388" s="89"/>
      <c r="I388" s="89"/>
      <c r="J388" s="89"/>
      <c r="K388" s="89"/>
    </row>
    <row r="389">
      <c r="B389" s="89"/>
      <c r="C389" s="89"/>
      <c r="D389" s="89"/>
      <c r="E389" s="89"/>
      <c r="F389" s="89"/>
      <c r="G389" s="89"/>
      <c r="H389" s="89"/>
      <c r="I389" s="89"/>
      <c r="J389" s="89"/>
      <c r="K389" s="89"/>
    </row>
    <row r="390">
      <c r="B390" s="89"/>
      <c r="C390" s="89"/>
      <c r="D390" s="89"/>
      <c r="E390" s="89"/>
      <c r="F390" s="89"/>
      <c r="G390" s="89"/>
      <c r="H390" s="89"/>
      <c r="I390" s="89"/>
      <c r="J390" s="89"/>
      <c r="K390" s="89"/>
    </row>
    <row r="391">
      <c r="B391" s="89"/>
      <c r="C391" s="89"/>
      <c r="D391" s="89"/>
      <c r="E391" s="89"/>
      <c r="F391" s="89"/>
      <c r="G391" s="89"/>
      <c r="H391" s="89"/>
      <c r="I391" s="89"/>
      <c r="J391" s="89"/>
      <c r="K391" s="89"/>
    </row>
    <row r="392">
      <c r="B392" s="89"/>
      <c r="C392" s="89"/>
      <c r="D392" s="89"/>
      <c r="E392" s="89"/>
      <c r="F392" s="89"/>
      <c r="G392" s="89"/>
      <c r="H392" s="89"/>
      <c r="I392" s="89"/>
      <c r="J392" s="89"/>
      <c r="K392" s="89"/>
    </row>
    <row r="393">
      <c r="B393" s="89"/>
      <c r="C393" s="89"/>
      <c r="D393" s="89"/>
      <c r="E393" s="89"/>
      <c r="F393" s="89"/>
      <c r="G393" s="89"/>
      <c r="H393" s="89"/>
      <c r="I393" s="89"/>
      <c r="J393" s="89"/>
      <c r="K393" s="89"/>
    </row>
    <row r="394">
      <c r="B394" s="89"/>
      <c r="C394" s="89"/>
      <c r="D394" s="89"/>
      <c r="E394" s="89"/>
      <c r="F394" s="89"/>
      <c r="G394" s="89"/>
      <c r="H394" s="89"/>
      <c r="I394" s="89"/>
      <c r="J394" s="89"/>
      <c r="K394" s="89"/>
    </row>
    <row r="395">
      <c r="B395" s="89"/>
      <c r="C395" s="89"/>
      <c r="D395" s="89"/>
      <c r="E395" s="89"/>
      <c r="F395" s="89"/>
      <c r="G395" s="89"/>
      <c r="H395" s="89"/>
      <c r="I395" s="89"/>
      <c r="J395" s="89"/>
      <c r="K395" s="89"/>
    </row>
    <row r="396">
      <c r="B396" s="89"/>
      <c r="C396" s="89"/>
      <c r="D396" s="89"/>
      <c r="E396" s="89"/>
      <c r="F396" s="89"/>
      <c r="G396" s="89"/>
      <c r="H396" s="89"/>
      <c r="I396" s="89"/>
      <c r="J396" s="89"/>
      <c r="K396" s="89"/>
    </row>
    <row r="397">
      <c r="B397" s="89"/>
      <c r="C397" s="89"/>
      <c r="D397" s="89"/>
      <c r="E397" s="89"/>
      <c r="F397" s="89"/>
      <c r="G397" s="89"/>
      <c r="H397" s="89"/>
      <c r="I397" s="89"/>
      <c r="J397" s="89"/>
      <c r="K397" s="89"/>
    </row>
    <row r="398">
      <c r="B398" s="89"/>
      <c r="C398" s="89"/>
      <c r="D398" s="89"/>
      <c r="E398" s="89"/>
      <c r="F398" s="89"/>
      <c r="G398" s="89"/>
      <c r="H398" s="89"/>
      <c r="I398" s="89"/>
      <c r="J398" s="89"/>
      <c r="K398" s="89"/>
    </row>
    <row r="399">
      <c r="B399" s="89"/>
      <c r="C399" s="89"/>
      <c r="D399" s="89"/>
      <c r="E399" s="89"/>
      <c r="F399" s="89"/>
      <c r="G399" s="89"/>
      <c r="H399" s="89"/>
      <c r="I399" s="89"/>
      <c r="J399" s="89"/>
      <c r="K399" s="89"/>
    </row>
    <row r="400">
      <c r="B400" s="89"/>
      <c r="C400" s="89"/>
      <c r="D400" s="89"/>
      <c r="E400" s="89"/>
      <c r="F400" s="89"/>
      <c r="G400" s="89"/>
      <c r="H400" s="89"/>
      <c r="I400" s="89"/>
      <c r="J400" s="89"/>
      <c r="K400" s="89"/>
    </row>
    <row r="401">
      <c r="B401" s="89"/>
      <c r="C401" s="89"/>
      <c r="D401" s="89"/>
      <c r="E401" s="89"/>
      <c r="F401" s="89"/>
      <c r="G401" s="89"/>
      <c r="H401" s="89"/>
      <c r="I401" s="89"/>
      <c r="J401" s="89"/>
      <c r="K401" s="89"/>
    </row>
    <row r="402">
      <c r="B402" s="89"/>
      <c r="C402" s="89"/>
      <c r="D402" s="89"/>
      <c r="E402" s="89"/>
      <c r="F402" s="89"/>
      <c r="G402" s="89"/>
      <c r="H402" s="89"/>
      <c r="I402" s="89"/>
      <c r="J402" s="89"/>
      <c r="K402" s="89"/>
    </row>
    <row r="403">
      <c r="B403" s="89"/>
      <c r="C403" s="89"/>
      <c r="D403" s="89"/>
      <c r="E403" s="89"/>
      <c r="F403" s="89"/>
      <c r="G403" s="89"/>
      <c r="H403" s="89"/>
      <c r="I403" s="89"/>
      <c r="J403" s="89"/>
      <c r="K403" s="89"/>
    </row>
    <row r="404">
      <c r="B404" s="89"/>
      <c r="C404" s="89"/>
      <c r="D404" s="89"/>
      <c r="E404" s="89"/>
      <c r="F404" s="89"/>
      <c r="G404" s="89"/>
      <c r="H404" s="89"/>
      <c r="I404" s="89"/>
      <c r="J404" s="89"/>
      <c r="K404" s="89"/>
    </row>
    <row r="405">
      <c r="B405" s="89"/>
      <c r="C405" s="89"/>
      <c r="D405" s="89"/>
      <c r="E405" s="89"/>
      <c r="F405" s="89"/>
      <c r="G405" s="89"/>
      <c r="H405" s="89"/>
      <c r="I405" s="89"/>
      <c r="J405" s="89"/>
      <c r="K405" s="89"/>
    </row>
    <row r="406">
      <c r="B406" s="89"/>
      <c r="C406" s="89"/>
      <c r="D406" s="89"/>
      <c r="E406" s="89"/>
      <c r="F406" s="89"/>
      <c r="G406" s="89"/>
      <c r="H406" s="89"/>
      <c r="I406" s="89"/>
      <c r="J406" s="89"/>
      <c r="K406" s="89"/>
    </row>
    <row r="407">
      <c r="B407" s="89"/>
      <c r="C407" s="89"/>
      <c r="D407" s="89"/>
      <c r="E407" s="89"/>
      <c r="F407" s="89"/>
      <c r="G407" s="89"/>
      <c r="H407" s="89"/>
      <c r="I407" s="89"/>
      <c r="J407" s="89"/>
      <c r="K407" s="89"/>
    </row>
    <row r="408">
      <c r="B408" s="89"/>
      <c r="C408" s="89"/>
      <c r="D408" s="89"/>
      <c r="E408" s="89"/>
      <c r="F408" s="89"/>
      <c r="G408" s="89"/>
      <c r="H408" s="89"/>
      <c r="I408" s="89"/>
      <c r="J408" s="89"/>
      <c r="K408" s="89"/>
    </row>
    <row r="409">
      <c r="B409" s="89"/>
      <c r="C409" s="89"/>
      <c r="D409" s="89"/>
      <c r="E409" s="89"/>
      <c r="F409" s="89"/>
      <c r="G409" s="89"/>
      <c r="H409" s="89"/>
      <c r="I409" s="89"/>
      <c r="J409" s="89"/>
      <c r="K409" s="89"/>
    </row>
    <row r="410">
      <c r="B410" s="89"/>
      <c r="C410" s="89"/>
      <c r="D410" s="89"/>
      <c r="E410" s="89"/>
      <c r="F410" s="89"/>
      <c r="G410" s="89"/>
      <c r="H410" s="89"/>
      <c r="I410" s="89"/>
      <c r="J410" s="89"/>
      <c r="K410" s="89"/>
    </row>
    <row r="411">
      <c r="B411" s="89"/>
      <c r="C411" s="89"/>
      <c r="D411" s="89"/>
      <c r="E411" s="89"/>
      <c r="F411" s="89"/>
      <c r="G411" s="89"/>
      <c r="H411" s="89"/>
      <c r="I411" s="89"/>
      <c r="J411" s="89"/>
      <c r="K411" s="89"/>
    </row>
    <row r="412">
      <c r="B412" s="89"/>
      <c r="C412" s="89"/>
      <c r="D412" s="89"/>
      <c r="E412" s="89"/>
      <c r="F412" s="89"/>
      <c r="G412" s="89"/>
      <c r="H412" s="89"/>
      <c r="I412" s="89"/>
      <c r="J412" s="89"/>
      <c r="K412" s="89"/>
    </row>
    <row r="413">
      <c r="B413" s="89"/>
      <c r="C413" s="89"/>
      <c r="D413" s="89"/>
      <c r="E413" s="89"/>
      <c r="F413" s="89"/>
      <c r="G413" s="89"/>
      <c r="H413" s="89"/>
      <c r="I413" s="89"/>
      <c r="J413" s="89"/>
      <c r="K413" s="89"/>
    </row>
    <row r="414">
      <c r="B414" s="89"/>
      <c r="C414" s="89"/>
      <c r="D414" s="89"/>
      <c r="E414" s="89"/>
      <c r="F414" s="89"/>
      <c r="G414" s="89"/>
      <c r="H414" s="89"/>
      <c r="I414" s="89"/>
      <c r="J414" s="89"/>
      <c r="K414" s="89"/>
    </row>
    <row r="415">
      <c r="B415" s="89"/>
      <c r="C415" s="89"/>
      <c r="D415" s="89"/>
      <c r="E415" s="89"/>
      <c r="F415" s="89"/>
      <c r="G415" s="89"/>
      <c r="H415" s="89"/>
      <c r="I415" s="89"/>
      <c r="J415" s="89"/>
      <c r="K415" s="89"/>
    </row>
    <row r="416">
      <c r="B416" s="89"/>
      <c r="C416" s="89"/>
      <c r="D416" s="89"/>
      <c r="E416" s="89"/>
      <c r="F416" s="89"/>
      <c r="G416" s="89"/>
      <c r="H416" s="89"/>
      <c r="I416" s="89"/>
      <c r="J416" s="89"/>
      <c r="K416" s="89"/>
    </row>
    <row r="417">
      <c r="B417" s="89"/>
      <c r="C417" s="89"/>
      <c r="D417" s="89"/>
      <c r="E417" s="89"/>
      <c r="F417" s="89"/>
      <c r="G417" s="89"/>
      <c r="H417" s="89"/>
      <c r="I417" s="89"/>
      <c r="J417" s="89"/>
      <c r="K417" s="89"/>
    </row>
    <row r="418">
      <c r="B418" s="89"/>
      <c r="C418" s="89"/>
      <c r="D418" s="89"/>
      <c r="E418" s="89"/>
      <c r="F418" s="89"/>
      <c r="G418" s="89"/>
      <c r="H418" s="89"/>
      <c r="I418" s="89"/>
      <c r="J418" s="89"/>
      <c r="K418" s="89"/>
    </row>
    <row r="419">
      <c r="B419" s="89"/>
      <c r="C419" s="89"/>
      <c r="D419" s="89"/>
      <c r="E419" s="89"/>
      <c r="F419" s="89"/>
      <c r="G419" s="89"/>
      <c r="H419" s="89"/>
      <c r="I419" s="89"/>
      <c r="J419" s="89"/>
      <c r="K419" s="89"/>
    </row>
    <row r="420">
      <c r="B420" s="89"/>
      <c r="C420" s="89"/>
      <c r="D420" s="89"/>
      <c r="E420" s="89"/>
      <c r="F420" s="89"/>
      <c r="G420" s="89"/>
      <c r="H420" s="89"/>
      <c r="I420" s="89"/>
      <c r="J420" s="89"/>
      <c r="K420" s="89"/>
    </row>
    <row r="421">
      <c r="B421" s="89"/>
      <c r="C421" s="89"/>
      <c r="D421" s="89"/>
      <c r="E421" s="89"/>
      <c r="F421" s="89"/>
      <c r="G421" s="89"/>
      <c r="H421" s="89"/>
      <c r="I421" s="89"/>
      <c r="J421" s="89"/>
      <c r="K421" s="89"/>
    </row>
    <row r="422">
      <c r="B422" s="89"/>
      <c r="C422" s="89"/>
      <c r="D422" s="89"/>
      <c r="E422" s="89"/>
      <c r="F422" s="89"/>
      <c r="G422" s="89"/>
      <c r="H422" s="89"/>
      <c r="I422" s="89"/>
      <c r="J422" s="89"/>
      <c r="K422" s="89"/>
    </row>
    <row r="423">
      <c r="B423" s="89"/>
      <c r="C423" s="89"/>
      <c r="D423" s="89"/>
      <c r="E423" s="89"/>
      <c r="F423" s="89"/>
      <c r="G423" s="89"/>
      <c r="H423" s="89"/>
      <c r="I423" s="89"/>
      <c r="J423" s="89"/>
      <c r="K423" s="89"/>
    </row>
    <row r="424">
      <c r="B424" s="89"/>
      <c r="C424" s="89"/>
      <c r="D424" s="89"/>
      <c r="E424" s="89"/>
      <c r="F424" s="89"/>
      <c r="G424" s="89"/>
      <c r="H424" s="89"/>
      <c r="I424" s="89"/>
      <c r="J424" s="89"/>
      <c r="K424" s="89"/>
    </row>
    <row r="425">
      <c r="B425" s="89"/>
      <c r="C425" s="89"/>
      <c r="D425" s="89"/>
      <c r="E425" s="89"/>
      <c r="F425" s="89"/>
      <c r="G425" s="89"/>
      <c r="H425" s="89"/>
      <c r="I425" s="89"/>
      <c r="J425" s="89"/>
      <c r="K425" s="89"/>
    </row>
    <row r="426">
      <c r="B426" s="89"/>
      <c r="C426" s="89"/>
      <c r="D426" s="89"/>
      <c r="E426" s="89"/>
      <c r="F426" s="89"/>
      <c r="G426" s="89"/>
      <c r="H426" s="89"/>
      <c r="I426" s="89"/>
      <c r="J426" s="89"/>
      <c r="K426" s="89"/>
    </row>
    <row r="427">
      <c r="B427" s="89"/>
      <c r="C427" s="89"/>
      <c r="D427" s="89"/>
      <c r="E427" s="89"/>
      <c r="F427" s="89"/>
      <c r="G427" s="89"/>
      <c r="H427" s="89"/>
      <c r="I427" s="89"/>
      <c r="J427" s="89"/>
      <c r="K427" s="89"/>
    </row>
    <row r="428">
      <c r="B428" s="89"/>
      <c r="C428" s="89"/>
      <c r="D428" s="89"/>
      <c r="E428" s="89"/>
      <c r="F428" s="89"/>
      <c r="G428" s="89"/>
      <c r="H428" s="89"/>
      <c r="I428" s="89"/>
      <c r="J428" s="89"/>
      <c r="K428" s="89"/>
    </row>
    <row r="429">
      <c r="B429" s="89"/>
      <c r="C429" s="89"/>
      <c r="D429" s="89"/>
      <c r="E429" s="89"/>
      <c r="F429" s="89"/>
      <c r="G429" s="89"/>
      <c r="H429" s="89"/>
      <c r="I429" s="89"/>
      <c r="J429" s="89"/>
      <c r="K429" s="89"/>
    </row>
    <row r="430">
      <c r="B430" s="89"/>
      <c r="C430" s="89"/>
      <c r="D430" s="89"/>
      <c r="E430" s="89"/>
      <c r="F430" s="89"/>
      <c r="G430" s="89"/>
      <c r="H430" s="89"/>
      <c r="I430" s="89"/>
      <c r="J430" s="89"/>
      <c r="K430" s="89"/>
    </row>
    <row r="431">
      <c r="B431" s="89"/>
      <c r="C431" s="89"/>
      <c r="D431" s="89"/>
      <c r="E431" s="89"/>
      <c r="F431" s="89"/>
      <c r="G431" s="89"/>
      <c r="H431" s="89"/>
      <c r="I431" s="89"/>
      <c r="J431" s="89"/>
      <c r="K431" s="89"/>
    </row>
    <row r="432">
      <c r="B432" s="89"/>
      <c r="C432" s="89"/>
      <c r="D432" s="89"/>
      <c r="E432" s="89"/>
      <c r="F432" s="89"/>
      <c r="G432" s="89"/>
      <c r="H432" s="89"/>
      <c r="I432" s="89"/>
      <c r="J432" s="89"/>
      <c r="K432" s="89"/>
    </row>
    <row r="433">
      <c r="B433" s="89"/>
      <c r="C433" s="89"/>
      <c r="D433" s="89"/>
      <c r="E433" s="89"/>
      <c r="F433" s="89"/>
      <c r="G433" s="89"/>
      <c r="H433" s="89"/>
      <c r="I433" s="89"/>
      <c r="J433" s="89"/>
      <c r="K433" s="89"/>
    </row>
    <row r="434">
      <c r="B434" s="89"/>
      <c r="C434" s="89"/>
      <c r="D434" s="89"/>
      <c r="E434" s="89"/>
      <c r="F434" s="89"/>
      <c r="G434" s="89"/>
      <c r="H434" s="89"/>
      <c r="I434" s="89"/>
      <c r="J434" s="89"/>
      <c r="K434" s="89"/>
    </row>
    <row r="435">
      <c r="B435" s="89"/>
      <c r="C435" s="89"/>
      <c r="D435" s="89"/>
      <c r="E435" s="89"/>
      <c r="F435" s="89"/>
      <c r="G435" s="89"/>
      <c r="H435" s="89"/>
      <c r="I435" s="89"/>
      <c r="J435" s="89"/>
      <c r="K435" s="89"/>
    </row>
    <row r="436">
      <c r="B436" s="89"/>
      <c r="C436" s="89"/>
      <c r="D436" s="89"/>
      <c r="E436" s="89"/>
      <c r="F436" s="89"/>
      <c r="G436" s="89"/>
      <c r="H436" s="89"/>
      <c r="I436" s="89"/>
      <c r="J436" s="89"/>
      <c r="K436" s="89"/>
    </row>
    <row r="437">
      <c r="B437" s="89"/>
      <c r="C437" s="89"/>
      <c r="D437" s="89"/>
      <c r="E437" s="89"/>
      <c r="F437" s="89"/>
      <c r="G437" s="89"/>
      <c r="H437" s="89"/>
      <c r="I437" s="89"/>
      <c r="J437" s="89"/>
      <c r="K437" s="89"/>
    </row>
    <row r="438">
      <c r="B438" s="89"/>
      <c r="C438" s="89"/>
      <c r="D438" s="89"/>
      <c r="E438" s="89"/>
      <c r="F438" s="89"/>
      <c r="G438" s="89"/>
      <c r="H438" s="89"/>
      <c r="I438" s="89"/>
      <c r="J438" s="89"/>
      <c r="K438" s="89"/>
    </row>
    <row r="439">
      <c r="B439" s="89"/>
      <c r="C439" s="89"/>
      <c r="D439" s="89"/>
      <c r="E439" s="89"/>
      <c r="F439" s="89"/>
      <c r="G439" s="89"/>
      <c r="H439" s="89"/>
      <c r="I439" s="89"/>
      <c r="J439" s="89"/>
      <c r="K439" s="89"/>
    </row>
    <row r="440">
      <c r="B440" s="89"/>
      <c r="C440" s="89"/>
      <c r="D440" s="89"/>
      <c r="E440" s="89"/>
      <c r="F440" s="89"/>
      <c r="G440" s="89"/>
      <c r="H440" s="89"/>
      <c r="I440" s="89"/>
      <c r="J440" s="89"/>
      <c r="K440" s="89"/>
    </row>
    <row r="441">
      <c r="B441" s="89"/>
      <c r="C441" s="89"/>
      <c r="D441" s="89"/>
      <c r="E441" s="89"/>
      <c r="F441" s="89"/>
      <c r="G441" s="89"/>
      <c r="H441" s="89"/>
      <c r="I441" s="89"/>
      <c r="J441" s="89"/>
      <c r="K441" s="89"/>
    </row>
    <row r="442">
      <c r="B442" s="89"/>
      <c r="C442" s="89"/>
      <c r="D442" s="89"/>
      <c r="E442" s="89"/>
      <c r="F442" s="89"/>
      <c r="G442" s="89"/>
      <c r="H442" s="89"/>
      <c r="I442" s="89"/>
      <c r="J442" s="89"/>
      <c r="K442" s="89"/>
    </row>
    <row r="443">
      <c r="B443" s="89"/>
      <c r="C443" s="89"/>
      <c r="D443" s="89"/>
      <c r="E443" s="89"/>
      <c r="F443" s="89"/>
      <c r="G443" s="89"/>
      <c r="H443" s="89"/>
      <c r="I443" s="89"/>
      <c r="J443" s="89"/>
      <c r="K443" s="89"/>
    </row>
    <row r="444">
      <c r="B444" s="89"/>
      <c r="C444" s="89"/>
      <c r="D444" s="89"/>
      <c r="E444" s="89"/>
      <c r="F444" s="89"/>
      <c r="G444" s="89"/>
      <c r="H444" s="89"/>
      <c r="I444" s="89"/>
      <c r="J444" s="89"/>
      <c r="K444" s="89"/>
    </row>
    <row r="445">
      <c r="B445" s="89"/>
      <c r="C445" s="89"/>
      <c r="D445" s="89"/>
      <c r="E445" s="89"/>
      <c r="F445" s="89"/>
      <c r="G445" s="89"/>
      <c r="H445" s="89"/>
      <c r="I445" s="89"/>
      <c r="J445" s="89"/>
      <c r="K445" s="89"/>
    </row>
    <row r="446">
      <c r="B446" s="89"/>
      <c r="C446" s="89"/>
      <c r="D446" s="89"/>
      <c r="E446" s="89"/>
      <c r="F446" s="89"/>
      <c r="G446" s="89"/>
      <c r="H446" s="89"/>
      <c r="I446" s="89"/>
      <c r="J446" s="89"/>
      <c r="K446" s="89"/>
    </row>
    <row r="447">
      <c r="B447" s="89"/>
      <c r="C447" s="89"/>
      <c r="D447" s="89"/>
      <c r="E447" s="89"/>
      <c r="F447" s="89"/>
      <c r="G447" s="89"/>
      <c r="H447" s="89"/>
      <c r="I447" s="89"/>
      <c r="J447" s="89"/>
      <c r="K447" s="89"/>
    </row>
    <row r="448">
      <c r="B448" s="89"/>
      <c r="C448" s="89"/>
      <c r="D448" s="89"/>
      <c r="E448" s="89"/>
      <c r="F448" s="89"/>
      <c r="G448" s="89"/>
      <c r="H448" s="89"/>
      <c r="I448" s="89"/>
      <c r="J448" s="89"/>
      <c r="K448" s="89"/>
    </row>
    <row r="449">
      <c r="B449" s="89"/>
      <c r="C449" s="89"/>
      <c r="D449" s="89"/>
      <c r="E449" s="89"/>
      <c r="F449" s="89"/>
      <c r="G449" s="89"/>
      <c r="H449" s="89"/>
      <c r="I449" s="89"/>
      <c r="J449" s="89"/>
      <c r="K449" s="89"/>
    </row>
    <row r="450">
      <c r="B450" s="89"/>
      <c r="C450" s="89"/>
      <c r="D450" s="89"/>
      <c r="E450" s="89"/>
      <c r="F450" s="89"/>
      <c r="G450" s="89"/>
      <c r="H450" s="89"/>
      <c r="I450" s="89"/>
      <c r="J450" s="89"/>
      <c r="K450" s="89"/>
    </row>
    <row r="451">
      <c r="B451" s="89"/>
      <c r="C451" s="89"/>
      <c r="D451" s="89"/>
      <c r="E451" s="89"/>
      <c r="F451" s="89"/>
      <c r="G451" s="89"/>
      <c r="H451" s="89"/>
      <c r="I451" s="89"/>
      <c r="J451" s="89"/>
      <c r="K451" s="89"/>
    </row>
    <row r="452">
      <c r="B452" s="89"/>
      <c r="C452" s="89"/>
      <c r="D452" s="89"/>
      <c r="E452" s="89"/>
      <c r="F452" s="89"/>
      <c r="G452" s="89"/>
      <c r="H452" s="89"/>
      <c r="I452" s="89"/>
      <c r="J452" s="89"/>
      <c r="K452" s="89"/>
    </row>
    <row r="453">
      <c r="B453" s="89"/>
      <c r="C453" s="89"/>
      <c r="D453" s="89"/>
      <c r="E453" s="89"/>
      <c r="F453" s="89"/>
      <c r="G453" s="89"/>
      <c r="H453" s="89"/>
      <c r="I453" s="89"/>
      <c r="J453" s="89"/>
      <c r="K453" s="89"/>
    </row>
    <row r="454">
      <c r="B454" s="89"/>
      <c r="C454" s="89"/>
      <c r="D454" s="89"/>
      <c r="E454" s="89"/>
      <c r="F454" s="89"/>
      <c r="G454" s="89"/>
      <c r="H454" s="89"/>
      <c r="I454" s="89"/>
      <c r="J454" s="89"/>
      <c r="K454" s="89"/>
    </row>
    <row r="455">
      <c r="B455" s="89"/>
      <c r="C455" s="89"/>
      <c r="D455" s="89"/>
      <c r="E455" s="89"/>
      <c r="F455" s="89"/>
      <c r="G455" s="89"/>
      <c r="H455" s="89"/>
      <c r="I455" s="89"/>
      <c r="J455" s="89"/>
      <c r="K455" s="89"/>
    </row>
    <row r="456">
      <c r="B456" s="89"/>
      <c r="C456" s="89"/>
      <c r="D456" s="89"/>
      <c r="E456" s="89"/>
      <c r="F456" s="89"/>
      <c r="G456" s="89"/>
      <c r="H456" s="89"/>
      <c r="I456" s="89"/>
      <c r="J456" s="89"/>
      <c r="K456" s="89"/>
    </row>
    <row r="457">
      <c r="B457" s="89"/>
      <c r="C457" s="89"/>
      <c r="D457" s="89"/>
      <c r="E457" s="89"/>
      <c r="F457" s="89"/>
      <c r="G457" s="89"/>
      <c r="H457" s="89"/>
      <c r="I457" s="89"/>
      <c r="J457" s="89"/>
      <c r="K457" s="89"/>
    </row>
    <row r="458">
      <c r="B458" s="89"/>
      <c r="C458" s="89"/>
      <c r="D458" s="89"/>
      <c r="E458" s="89"/>
      <c r="F458" s="89"/>
      <c r="G458" s="89"/>
      <c r="H458" s="89"/>
      <c r="I458" s="89"/>
      <c r="J458" s="89"/>
      <c r="K458" s="89"/>
    </row>
    <row r="459">
      <c r="B459" s="89"/>
      <c r="C459" s="89"/>
      <c r="D459" s="89"/>
      <c r="E459" s="89"/>
      <c r="F459" s="89"/>
      <c r="G459" s="89"/>
      <c r="H459" s="89"/>
      <c r="I459" s="89"/>
      <c r="J459" s="89"/>
      <c r="K459" s="89"/>
    </row>
    <row r="460">
      <c r="B460" s="89"/>
      <c r="C460" s="89"/>
      <c r="D460" s="89"/>
      <c r="E460" s="89"/>
      <c r="F460" s="89"/>
      <c r="G460" s="89"/>
      <c r="H460" s="89"/>
      <c r="I460" s="89"/>
      <c r="J460" s="89"/>
      <c r="K460" s="89"/>
    </row>
    <row r="461">
      <c r="B461" s="89"/>
      <c r="C461" s="89"/>
      <c r="D461" s="89"/>
      <c r="E461" s="89"/>
      <c r="F461" s="89"/>
      <c r="G461" s="89"/>
      <c r="H461" s="89"/>
      <c r="I461" s="89"/>
      <c r="J461" s="89"/>
      <c r="K461" s="89"/>
    </row>
    <row r="462">
      <c r="B462" s="89"/>
      <c r="C462" s="89"/>
      <c r="D462" s="89"/>
      <c r="E462" s="89"/>
      <c r="F462" s="89"/>
      <c r="G462" s="89"/>
      <c r="H462" s="89"/>
      <c r="I462" s="89"/>
      <c r="J462" s="89"/>
      <c r="K462" s="89"/>
    </row>
    <row r="463">
      <c r="B463" s="89"/>
      <c r="C463" s="89"/>
      <c r="D463" s="89"/>
      <c r="E463" s="89"/>
      <c r="F463" s="89"/>
      <c r="G463" s="89"/>
      <c r="H463" s="89"/>
      <c r="I463" s="89"/>
      <c r="J463" s="89"/>
      <c r="K463" s="89"/>
    </row>
    <row r="464">
      <c r="B464" s="89"/>
      <c r="C464" s="89"/>
      <c r="D464" s="89"/>
      <c r="E464" s="89"/>
      <c r="F464" s="89"/>
      <c r="G464" s="89"/>
      <c r="H464" s="89"/>
      <c r="I464" s="89"/>
      <c r="J464" s="89"/>
      <c r="K464" s="89"/>
    </row>
    <row r="465">
      <c r="B465" s="89"/>
      <c r="C465" s="89"/>
      <c r="D465" s="89"/>
      <c r="E465" s="89"/>
      <c r="F465" s="89"/>
      <c r="G465" s="89"/>
      <c r="H465" s="89"/>
      <c r="I465" s="89"/>
      <c r="J465" s="89"/>
      <c r="K465" s="89"/>
    </row>
    <row r="466">
      <c r="B466" s="89"/>
      <c r="C466" s="89"/>
      <c r="D466" s="89"/>
      <c r="E466" s="89"/>
      <c r="F466" s="89"/>
      <c r="G466" s="89"/>
      <c r="H466" s="89"/>
      <c r="I466" s="89"/>
      <c r="J466" s="89"/>
      <c r="K466" s="89"/>
    </row>
    <row r="467">
      <c r="B467" s="89"/>
      <c r="C467" s="89"/>
      <c r="D467" s="89"/>
      <c r="E467" s="89"/>
      <c r="F467" s="89"/>
      <c r="G467" s="89"/>
      <c r="H467" s="89"/>
      <c r="I467" s="89"/>
      <c r="J467" s="89"/>
      <c r="K467" s="89"/>
    </row>
    <row r="468">
      <c r="B468" s="89"/>
      <c r="C468" s="89"/>
      <c r="D468" s="89"/>
      <c r="E468" s="89"/>
      <c r="F468" s="89"/>
      <c r="G468" s="89"/>
      <c r="H468" s="89"/>
      <c r="I468" s="89"/>
      <c r="J468" s="89"/>
      <c r="K468" s="89"/>
    </row>
    <row r="469">
      <c r="B469" s="89"/>
      <c r="C469" s="89"/>
      <c r="D469" s="89"/>
      <c r="E469" s="89"/>
      <c r="F469" s="89"/>
      <c r="G469" s="89"/>
      <c r="H469" s="89"/>
      <c r="I469" s="89"/>
      <c r="J469" s="89"/>
      <c r="K469" s="89"/>
    </row>
    <row r="470">
      <c r="B470" s="89"/>
      <c r="C470" s="89"/>
      <c r="D470" s="89"/>
      <c r="E470" s="89"/>
      <c r="F470" s="89"/>
      <c r="G470" s="89"/>
      <c r="H470" s="89"/>
      <c r="I470" s="89"/>
      <c r="J470" s="89"/>
      <c r="K470" s="89"/>
    </row>
    <row r="471">
      <c r="B471" s="89"/>
      <c r="C471" s="89"/>
      <c r="D471" s="89"/>
      <c r="E471" s="89"/>
      <c r="F471" s="89"/>
      <c r="G471" s="89"/>
      <c r="H471" s="89"/>
      <c r="I471" s="89"/>
      <c r="J471" s="89"/>
      <c r="K471" s="89"/>
    </row>
    <row r="472">
      <c r="B472" s="89"/>
      <c r="C472" s="89"/>
      <c r="D472" s="89"/>
      <c r="E472" s="89"/>
      <c r="F472" s="89"/>
      <c r="G472" s="89"/>
      <c r="H472" s="89"/>
      <c r="I472" s="89"/>
      <c r="J472" s="89"/>
      <c r="K472" s="89"/>
    </row>
    <row r="473">
      <c r="B473" s="89"/>
      <c r="C473" s="89"/>
      <c r="D473" s="89"/>
      <c r="E473" s="89"/>
      <c r="F473" s="89"/>
      <c r="G473" s="89"/>
      <c r="H473" s="89"/>
      <c r="I473" s="89"/>
      <c r="J473" s="89"/>
      <c r="K473" s="89"/>
    </row>
    <row r="474">
      <c r="B474" s="89"/>
      <c r="C474" s="89"/>
      <c r="D474" s="89"/>
      <c r="E474" s="89"/>
      <c r="F474" s="89"/>
      <c r="G474" s="89"/>
      <c r="H474" s="89"/>
      <c r="I474" s="89"/>
      <c r="J474" s="89"/>
      <c r="K474" s="89"/>
    </row>
    <row r="475">
      <c r="B475" s="89"/>
      <c r="C475" s="89"/>
      <c r="D475" s="89"/>
      <c r="E475" s="89"/>
      <c r="F475" s="89"/>
      <c r="G475" s="89"/>
      <c r="H475" s="89"/>
      <c r="I475" s="89"/>
      <c r="J475" s="89"/>
      <c r="K475" s="89"/>
    </row>
    <row r="476">
      <c r="B476" s="89"/>
      <c r="C476" s="89"/>
      <c r="D476" s="89"/>
      <c r="E476" s="89"/>
      <c r="F476" s="89"/>
      <c r="G476" s="89"/>
      <c r="H476" s="89"/>
      <c r="I476" s="89"/>
      <c r="J476" s="89"/>
      <c r="K476" s="89"/>
    </row>
    <row r="477">
      <c r="B477" s="89"/>
      <c r="C477" s="89"/>
      <c r="D477" s="89"/>
      <c r="E477" s="89"/>
      <c r="F477" s="89"/>
      <c r="G477" s="89"/>
      <c r="H477" s="89"/>
      <c r="I477" s="89"/>
      <c r="J477" s="89"/>
      <c r="K477" s="89"/>
    </row>
    <row r="478">
      <c r="B478" s="89"/>
      <c r="C478" s="89"/>
      <c r="D478" s="89"/>
      <c r="E478" s="89"/>
      <c r="F478" s="89"/>
      <c r="G478" s="89"/>
      <c r="H478" s="89"/>
      <c r="I478" s="89"/>
      <c r="J478" s="89"/>
      <c r="K478" s="89"/>
    </row>
    <row r="479">
      <c r="B479" s="89"/>
      <c r="C479" s="89"/>
      <c r="D479" s="89"/>
      <c r="E479" s="89"/>
      <c r="F479" s="89"/>
      <c r="G479" s="89"/>
      <c r="H479" s="89"/>
      <c r="I479" s="89"/>
      <c r="J479" s="89"/>
      <c r="K479" s="89"/>
    </row>
    <row r="480">
      <c r="B480" s="89"/>
      <c r="C480" s="89"/>
      <c r="D480" s="89"/>
      <c r="E480" s="89"/>
      <c r="F480" s="89"/>
      <c r="G480" s="89"/>
      <c r="H480" s="89"/>
      <c r="I480" s="89"/>
      <c r="J480" s="89"/>
      <c r="K480" s="89"/>
    </row>
    <row r="481">
      <c r="B481" s="89"/>
      <c r="C481" s="89"/>
      <c r="D481" s="89"/>
      <c r="E481" s="89"/>
      <c r="F481" s="89"/>
      <c r="G481" s="89"/>
      <c r="H481" s="89"/>
      <c r="I481" s="89"/>
      <c r="J481" s="89"/>
      <c r="K481" s="89"/>
    </row>
    <row r="482">
      <c r="B482" s="89"/>
      <c r="C482" s="89"/>
      <c r="D482" s="89"/>
      <c r="E482" s="89"/>
      <c r="F482" s="89"/>
      <c r="G482" s="89"/>
      <c r="H482" s="89"/>
      <c r="I482" s="89"/>
      <c r="J482" s="89"/>
      <c r="K482" s="89"/>
    </row>
    <row r="483">
      <c r="B483" s="89"/>
      <c r="C483" s="89"/>
      <c r="D483" s="89"/>
      <c r="E483" s="89"/>
      <c r="F483" s="89"/>
      <c r="G483" s="89"/>
      <c r="H483" s="89"/>
      <c r="I483" s="89"/>
      <c r="J483" s="89"/>
      <c r="K483" s="89"/>
    </row>
    <row r="484">
      <c r="B484" s="89"/>
      <c r="C484" s="89"/>
      <c r="D484" s="89"/>
      <c r="E484" s="89"/>
      <c r="F484" s="89"/>
      <c r="G484" s="89"/>
      <c r="H484" s="89"/>
      <c r="I484" s="89"/>
      <c r="J484" s="89"/>
      <c r="K484" s="89"/>
    </row>
    <row r="485">
      <c r="B485" s="89"/>
      <c r="C485" s="89"/>
      <c r="D485" s="89"/>
      <c r="E485" s="89"/>
      <c r="F485" s="89"/>
      <c r="G485" s="89"/>
      <c r="H485" s="89"/>
      <c r="I485" s="89"/>
      <c r="J485" s="89"/>
      <c r="K485" s="89"/>
    </row>
    <row r="486">
      <c r="B486" s="89"/>
      <c r="C486" s="89"/>
      <c r="D486" s="89"/>
      <c r="E486" s="89"/>
      <c r="F486" s="89"/>
      <c r="G486" s="89"/>
      <c r="H486" s="89"/>
      <c r="I486" s="89"/>
      <c r="J486" s="89"/>
      <c r="K486" s="89"/>
    </row>
    <row r="487">
      <c r="B487" s="89"/>
      <c r="C487" s="89"/>
      <c r="D487" s="89"/>
      <c r="E487" s="89"/>
      <c r="F487" s="89"/>
      <c r="G487" s="89"/>
      <c r="H487" s="89"/>
      <c r="I487" s="89"/>
      <c r="J487" s="89"/>
      <c r="K487" s="89"/>
    </row>
    <row r="488">
      <c r="B488" s="89"/>
      <c r="C488" s="89"/>
      <c r="D488" s="89"/>
      <c r="E488" s="89"/>
      <c r="F488" s="89"/>
      <c r="G488" s="89"/>
      <c r="H488" s="89"/>
      <c r="I488" s="89"/>
      <c r="J488" s="89"/>
      <c r="K488" s="89"/>
    </row>
    <row r="489">
      <c r="B489" s="89"/>
      <c r="C489" s="89"/>
      <c r="D489" s="89"/>
      <c r="E489" s="89"/>
      <c r="F489" s="89"/>
      <c r="G489" s="89"/>
      <c r="H489" s="89"/>
      <c r="I489" s="89"/>
      <c r="J489" s="89"/>
      <c r="K489" s="89"/>
    </row>
    <row r="490">
      <c r="B490" s="89"/>
      <c r="C490" s="89"/>
      <c r="D490" s="89"/>
      <c r="E490" s="89"/>
      <c r="F490" s="89"/>
      <c r="G490" s="89"/>
      <c r="H490" s="89"/>
      <c r="I490" s="89"/>
      <c r="J490" s="89"/>
      <c r="K490" s="89"/>
    </row>
    <row r="491">
      <c r="B491" s="89"/>
      <c r="C491" s="89"/>
      <c r="D491" s="89"/>
      <c r="E491" s="89"/>
      <c r="F491" s="89"/>
      <c r="G491" s="89"/>
      <c r="H491" s="89"/>
      <c r="I491" s="89"/>
      <c r="J491" s="89"/>
      <c r="K491" s="89"/>
    </row>
    <row r="492">
      <c r="B492" s="89"/>
      <c r="C492" s="89"/>
      <c r="D492" s="89"/>
      <c r="E492" s="89"/>
      <c r="F492" s="89"/>
      <c r="G492" s="89"/>
      <c r="H492" s="89"/>
      <c r="I492" s="89"/>
      <c r="J492" s="89"/>
      <c r="K492" s="89"/>
    </row>
    <row r="493">
      <c r="B493" s="89"/>
      <c r="C493" s="89"/>
      <c r="D493" s="89"/>
      <c r="E493" s="89"/>
      <c r="F493" s="89"/>
      <c r="G493" s="89"/>
      <c r="H493" s="89"/>
      <c r="I493" s="89"/>
      <c r="J493" s="89"/>
      <c r="K493" s="89"/>
    </row>
    <row r="494">
      <c r="B494" s="89"/>
      <c r="C494" s="89"/>
      <c r="D494" s="89"/>
      <c r="E494" s="89"/>
      <c r="F494" s="89"/>
      <c r="G494" s="89"/>
      <c r="H494" s="89"/>
      <c r="I494" s="89"/>
      <c r="J494" s="89"/>
      <c r="K494" s="89"/>
    </row>
    <row r="495">
      <c r="B495" s="89"/>
      <c r="C495" s="89"/>
      <c r="D495" s="89"/>
      <c r="E495" s="89"/>
      <c r="F495" s="89"/>
      <c r="G495" s="89"/>
      <c r="H495" s="89"/>
      <c r="I495" s="89"/>
      <c r="J495" s="89"/>
      <c r="K495" s="89"/>
    </row>
    <row r="496">
      <c r="B496" s="89"/>
      <c r="C496" s="89"/>
      <c r="D496" s="89"/>
      <c r="E496" s="89"/>
      <c r="F496" s="89"/>
      <c r="G496" s="89"/>
      <c r="H496" s="89"/>
      <c r="I496" s="89"/>
      <c r="J496" s="89"/>
      <c r="K496" s="89"/>
    </row>
    <row r="497">
      <c r="B497" s="89"/>
      <c r="C497" s="89"/>
      <c r="D497" s="89"/>
      <c r="E497" s="89"/>
      <c r="F497" s="89"/>
      <c r="G497" s="89"/>
      <c r="H497" s="89"/>
      <c r="I497" s="89"/>
      <c r="J497" s="89"/>
      <c r="K497" s="89"/>
    </row>
    <row r="498">
      <c r="B498" s="89"/>
      <c r="C498" s="89"/>
      <c r="D498" s="89"/>
      <c r="E498" s="89"/>
      <c r="F498" s="89"/>
      <c r="G498" s="89"/>
      <c r="H498" s="89"/>
      <c r="I498" s="89"/>
      <c r="J498" s="89"/>
      <c r="K498" s="89"/>
    </row>
    <row r="499">
      <c r="B499" s="89"/>
      <c r="C499" s="89"/>
      <c r="D499" s="89"/>
      <c r="E499" s="89"/>
      <c r="F499" s="89"/>
      <c r="G499" s="89"/>
      <c r="H499" s="89"/>
      <c r="I499" s="89"/>
      <c r="J499" s="89"/>
      <c r="K499" s="89"/>
    </row>
    <row r="500">
      <c r="B500" s="89"/>
      <c r="C500" s="89"/>
      <c r="D500" s="89"/>
      <c r="E500" s="89"/>
      <c r="F500" s="89"/>
      <c r="G500" s="89"/>
      <c r="H500" s="89"/>
      <c r="I500" s="89"/>
      <c r="J500" s="89"/>
      <c r="K500" s="89"/>
    </row>
    <row r="501">
      <c r="B501" s="89"/>
      <c r="C501" s="89"/>
      <c r="D501" s="89"/>
      <c r="E501" s="89"/>
      <c r="F501" s="89"/>
      <c r="G501" s="89"/>
      <c r="H501" s="89"/>
      <c r="I501" s="89"/>
      <c r="J501" s="89"/>
      <c r="K501" s="89"/>
    </row>
    <row r="502">
      <c r="B502" s="89"/>
      <c r="C502" s="89"/>
      <c r="D502" s="89"/>
      <c r="E502" s="89"/>
      <c r="F502" s="89"/>
      <c r="G502" s="89"/>
      <c r="H502" s="89"/>
      <c r="I502" s="89"/>
      <c r="J502" s="89"/>
      <c r="K502" s="89"/>
    </row>
    <row r="503">
      <c r="B503" s="89"/>
      <c r="C503" s="89"/>
      <c r="D503" s="89"/>
      <c r="E503" s="89"/>
      <c r="F503" s="89"/>
      <c r="G503" s="89"/>
      <c r="H503" s="89"/>
      <c r="I503" s="89"/>
      <c r="J503" s="89"/>
      <c r="K503" s="89"/>
    </row>
    <row r="504">
      <c r="B504" s="89"/>
      <c r="C504" s="89"/>
      <c r="D504" s="89"/>
      <c r="E504" s="89"/>
      <c r="F504" s="89"/>
      <c r="G504" s="89"/>
      <c r="H504" s="89"/>
      <c r="I504" s="89"/>
      <c r="J504" s="89"/>
      <c r="K504" s="89"/>
    </row>
    <row r="505">
      <c r="B505" s="89"/>
      <c r="C505" s="89"/>
      <c r="D505" s="89"/>
      <c r="E505" s="89"/>
      <c r="F505" s="89"/>
      <c r="G505" s="89"/>
      <c r="H505" s="89"/>
      <c r="I505" s="89"/>
      <c r="J505" s="89"/>
      <c r="K505" s="89"/>
    </row>
    <row r="506">
      <c r="B506" s="89"/>
      <c r="C506" s="89"/>
      <c r="D506" s="89"/>
      <c r="E506" s="89"/>
      <c r="F506" s="89"/>
      <c r="G506" s="89"/>
      <c r="H506" s="89"/>
      <c r="I506" s="89"/>
      <c r="J506" s="89"/>
      <c r="K506" s="89"/>
    </row>
    <row r="507">
      <c r="B507" s="89"/>
      <c r="C507" s="89"/>
      <c r="D507" s="89"/>
      <c r="E507" s="89"/>
      <c r="F507" s="89"/>
      <c r="G507" s="89"/>
      <c r="H507" s="89"/>
      <c r="I507" s="89"/>
      <c r="J507" s="89"/>
      <c r="K507" s="89"/>
    </row>
    <row r="508">
      <c r="B508" s="89"/>
      <c r="C508" s="89"/>
      <c r="D508" s="89"/>
      <c r="E508" s="89"/>
      <c r="F508" s="89"/>
      <c r="G508" s="89"/>
      <c r="H508" s="89"/>
      <c r="I508" s="89"/>
      <c r="J508" s="89"/>
      <c r="K508" s="89"/>
    </row>
    <row r="509">
      <c r="B509" s="89"/>
      <c r="C509" s="89"/>
      <c r="D509" s="89"/>
      <c r="E509" s="89"/>
      <c r="F509" s="89"/>
      <c r="G509" s="89"/>
      <c r="H509" s="89"/>
      <c r="I509" s="89"/>
      <c r="J509" s="89"/>
      <c r="K509" s="89"/>
    </row>
    <row r="510">
      <c r="B510" s="89"/>
      <c r="C510" s="89"/>
      <c r="D510" s="89"/>
      <c r="E510" s="89"/>
      <c r="F510" s="89"/>
      <c r="G510" s="89"/>
      <c r="H510" s="89"/>
      <c r="I510" s="89"/>
      <c r="J510" s="89"/>
      <c r="K510" s="89"/>
    </row>
    <row r="511">
      <c r="B511" s="89"/>
      <c r="C511" s="89"/>
      <c r="D511" s="89"/>
      <c r="E511" s="89"/>
      <c r="F511" s="89"/>
      <c r="G511" s="89"/>
      <c r="H511" s="89"/>
      <c r="I511" s="89"/>
      <c r="J511" s="89"/>
      <c r="K511" s="89"/>
    </row>
    <row r="512">
      <c r="B512" s="89"/>
      <c r="C512" s="89"/>
      <c r="D512" s="89"/>
      <c r="E512" s="89"/>
      <c r="F512" s="89"/>
      <c r="G512" s="89"/>
      <c r="H512" s="89"/>
      <c r="I512" s="89"/>
      <c r="J512" s="89"/>
      <c r="K512" s="89"/>
    </row>
    <row r="513">
      <c r="B513" s="89"/>
      <c r="C513" s="89"/>
      <c r="D513" s="89"/>
      <c r="E513" s="89"/>
      <c r="F513" s="89"/>
      <c r="G513" s="89"/>
      <c r="H513" s="89"/>
      <c r="I513" s="89"/>
      <c r="J513" s="89"/>
      <c r="K513" s="89"/>
    </row>
    <row r="514">
      <c r="B514" s="89"/>
      <c r="C514" s="89"/>
      <c r="D514" s="89"/>
      <c r="E514" s="89"/>
      <c r="F514" s="89"/>
      <c r="G514" s="89"/>
      <c r="H514" s="89"/>
      <c r="I514" s="89"/>
      <c r="J514" s="89"/>
      <c r="K514" s="89"/>
    </row>
    <row r="515">
      <c r="B515" s="89"/>
      <c r="C515" s="89"/>
      <c r="D515" s="89"/>
      <c r="E515" s="89"/>
      <c r="F515" s="89"/>
      <c r="G515" s="89"/>
      <c r="H515" s="89"/>
      <c r="I515" s="89"/>
      <c r="J515" s="89"/>
      <c r="K515" s="89"/>
    </row>
    <row r="516">
      <c r="B516" s="89"/>
      <c r="C516" s="89"/>
      <c r="D516" s="89"/>
      <c r="E516" s="89"/>
      <c r="F516" s="89"/>
      <c r="G516" s="89"/>
      <c r="H516" s="89"/>
      <c r="I516" s="89"/>
      <c r="J516" s="89"/>
      <c r="K516" s="89"/>
    </row>
    <row r="517">
      <c r="B517" s="89"/>
      <c r="C517" s="89"/>
      <c r="D517" s="89"/>
      <c r="E517" s="89"/>
      <c r="F517" s="89"/>
      <c r="G517" s="89"/>
      <c r="H517" s="89"/>
      <c r="I517" s="89"/>
      <c r="J517" s="89"/>
      <c r="K517" s="89"/>
    </row>
    <row r="518">
      <c r="B518" s="89"/>
      <c r="C518" s="89"/>
      <c r="D518" s="89"/>
      <c r="E518" s="89"/>
      <c r="F518" s="89"/>
      <c r="G518" s="89"/>
      <c r="H518" s="89"/>
      <c r="I518" s="89"/>
      <c r="J518" s="89"/>
      <c r="K518" s="89"/>
    </row>
    <row r="519">
      <c r="B519" s="89"/>
      <c r="C519" s="89"/>
      <c r="D519" s="89"/>
      <c r="E519" s="89"/>
      <c r="F519" s="89"/>
      <c r="G519" s="89"/>
      <c r="H519" s="89"/>
      <c r="I519" s="89"/>
      <c r="J519" s="89"/>
      <c r="K519" s="89"/>
    </row>
    <row r="520">
      <c r="B520" s="89"/>
      <c r="C520" s="89"/>
      <c r="D520" s="89"/>
      <c r="E520" s="89"/>
      <c r="F520" s="89"/>
      <c r="G520" s="89"/>
      <c r="H520" s="89"/>
      <c r="I520" s="89"/>
      <c r="J520" s="89"/>
      <c r="K520" s="89"/>
    </row>
    <row r="521">
      <c r="B521" s="89"/>
      <c r="C521" s="89"/>
      <c r="D521" s="89"/>
      <c r="E521" s="89"/>
      <c r="F521" s="89"/>
      <c r="G521" s="89"/>
      <c r="H521" s="89"/>
      <c r="I521" s="89"/>
      <c r="J521" s="89"/>
      <c r="K521" s="89"/>
    </row>
    <row r="522">
      <c r="B522" s="89"/>
      <c r="C522" s="89"/>
      <c r="D522" s="89"/>
      <c r="E522" s="89"/>
      <c r="F522" s="89"/>
      <c r="G522" s="89"/>
      <c r="H522" s="89"/>
      <c r="I522" s="89"/>
      <c r="J522" s="89"/>
      <c r="K522" s="89"/>
    </row>
    <row r="523">
      <c r="B523" s="89"/>
      <c r="C523" s="89"/>
      <c r="D523" s="89"/>
      <c r="E523" s="89"/>
      <c r="F523" s="89"/>
      <c r="G523" s="89"/>
      <c r="H523" s="89"/>
      <c r="I523" s="89"/>
      <c r="J523" s="89"/>
      <c r="K523" s="89"/>
    </row>
    <row r="524">
      <c r="B524" s="89"/>
      <c r="C524" s="89"/>
      <c r="D524" s="89"/>
      <c r="E524" s="89"/>
      <c r="F524" s="89"/>
      <c r="G524" s="89"/>
      <c r="H524" s="89"/>
      <c r="I524" s="89"/>
      <c r="J524" s="89"/>
      <c r="K524" s="89"/>
    </row>
    <row r="525">
      <c r="B525" s="89"/>
      <c r="C525" s="89"/>
      <c r="D525" s="89"/>
      <c r="E525" s="89"/>
      <c r="F525" s="89"/>
      <c r="G525" s="89"/>
      <c r="H525" s="89"/>
      <c r="I525" s="89"/>
      <c r="J525" s="89"/>
      <c r="K525" s="89"/>
    </row>
    <row r="526">
      <c r="B526" s="89"/>
      <c r="C526" s="89"/>
      <c r="D526" s="89"/>
      <c r="E526" s="89"/>
      <c r="F526" s="89"/>
      <c r="G526" s="89"/>
      <c r="H526" s="89"/>
      <c r="I526" s="89"/>
      <c r="J526" s="89"/>
      <c r="K526" s="89"/>
    </row>
    <row r="527">
      <c r="B527" s="89"/>
      <c r="C527" s="89"/>
      <c r="D527" s="89"/>
      <c r="E527" s="89"/>
      <c r="F527" s="89"/>
      <c r="G527" s="89"/>
      <c r="H527" s="89"/>
      <c r="I527" s="89"/>
      <c r="J527" s="89"/>
      <c r="K527" s="89"/>
    </row>
    <row r="528">
      <c r="B528" s="89"/>
      <c r="C528" s="89"/>
      <c r="D528" s="89"/>
      <c r="E528" s="89"/>
      <c r="F528" s="89"/>
      <c r="G528" s="89"/>
      <c r="H528" s="89"/>
      <c r="I528" s="89"/>
      <c r="J528" s="89"/>
      <c r="K528" s="89"/>
    </row>
    <row r="529">
      <c r="B529" s="89"/>
      <c r="C529" s="89"/>
      <c r="D529" s="89"/>
      <c r="E529" s="89"/>
      <c r="F529" s="89"/>
      <c r="G529" s="89"/>
      <c r="H529" s="89"/>
      <c r="I529" s="89"/>
      <c r="J529" s="89"/>
      <c r="K529" s="89"/>
    </row>
    <row r="530">
      <c r="B530" s="89"/>
      <c r="C530" s="89"/>
      <c r="D530" s="89"/>
      <c r="E530" s="89"/>
      <c r="F530" s="89"/>
      <c r="G530" s="89"/>
      <c r="H530" s="89"/>
      <c r="I530" s="89"/>
      <c r="J530" s="89"/>
      <c r="K530" s="89"/>
    </row>
    <row r="531">
      <c r="B531" s="89"/>
      <c r="C531" s="89"/>
      <c r="D531" s="89"/>
      <c r="E531" s="89"/>
      <c r="F531" s="89"/>
      <c r="G531" s="89"/>
      <c r="H531" s="89"/>
      <c r="I531" s="89"/>
      <c r="J531" s="89"/>
      <c r="K531" s="89"/>
    </row>
    <row r="532">
      <c r="B532" s="89"/>
      <c r="C532" s="89"/>
      <c r="D532" s="89"/>
      <c r="E532" s="89"/>
      <c r="F532" s="89"/>
      <c r="G532" s="89"/>
      <c r="H532" s="89"/>
      <c r="I532" s="89"/>
      <c r="J532" s="89"/>
      <c r="K532" s="89"/>
    </row>
    <row r="533">
      <c r="B533" s="89"/>
      <c r="C533" s="89"/>
      <c r="D533" s="89"/>
      <c r="E533" s="89"/>
      <c r="F533" s="89"/>
      <c r="G533" s="89"/>
      <c r="H533" s="89"/>
      <c r="I533" s="89"/>
      <c r="J533" s="89"/>
      <c r="K533" s="89"/>
    </row>
    <row r="534">
      <c r="B534" s="89"/>
      <c r="C534" s="89"/>
      <c r="D534" s="89"/>
      <c r="E534" s="89"/>
      <c r="F534" s="89"/>
      <c r="G534" s="89"/>
      <c r="H534" s="89"/>
      <c r="I534" s="89"/>
      <c r="J534" s="89"/>
      <c r="K534" s="89"/>
    </row>
    <row r="535">
      <c r="B535" s="89"/>
      <c r="C535" s="89"/>
      <c r="D535" s="89"/>
      <c r="E535" s="89"/>
      <c r="F535" s="89"/>
      <c r="G535" s="89"/>
      <c r="H535" s="89"/>
      <c r="I535" s="89"/>
      <c r="J535" s="89"/>
      <c r="K535" s="89"/>
    </row>
    <row r="536">
      <c r="B536" s="89"/>
      <c r="C536" s="89"/>
      <c r="D536" s="89"/>
      <c r="E536" s="89"/>
      <c r="F536" s="89"/>
      <c r="G536" s="89"/>
      <c r="H536" s="89"/>
      <c r="I536" s="89"/>
      <c r="J536" s="89"/>
      <c r="K536" s="89"/>
    </row>
    <row r="537">
      <c r="B537" s="89"/>
      <c r="C537" s="89"/>
      <c r="D537" s="89"/>
      <c r="E537" s="89"/>
      <c r="F537" s="89"/>
      <c r="G537" s="89"/>
      <c r="H537" s="89"/>
      <c r="I537" s="89"/>
      <c r="J537" s="89"/>
      <c r="K537" s="89"/>
    </row>
    <row r="538">
      <c r="B538" s="89"/>
      <c r="C538" s="89"/>
      <c r="D538" s="89"/>
      <c r="E538" s="89"/>
      <c r="F538" s="89"/>
      <c r="G538" s="89"/>
      <c r="H538" s="89"/>
      <c r="I538" s="89"/>
      <c r="J538" s="89"/>
      <c r="K538" s="89"/>
    </row>
    <row r="539">
      <c r="B539" s="89"/>
      <c r="C539" s="89"/>
      <c r="D539" s="89"/>
      <c r="E539" s="89"/>
      <c r="F539" s="89"/>
      <c r="G539" s="89"/>
      <c r="H539" s="89"/>
      <c r="I539" s="89"/>
      <c r="J539" s="89"/>
      <c r="K539" s="89"/>
    </row>
    <row r="540">
      <c r="B540" s="89"/>
      <c r="C540" s="89"/>
      <c r="D540" s="89"/>
      <c r="E540" s="89"/>
      <c r="F540" s="89"/>
      <c r="G540" s="89"/>
      <c r="H540" s="89"/>
      <c r="I540" s="89"/>
      <c r="J540" s="89"/>
      <c r="K540" s="89"/>
    </row>
    <row r="541">
      <c r="B541" s="89"/>
      <c r="C541" s="89"/>
      <c r="D541" s="89"/>
      <c r="E541" s="89"/>
      <c r="F541" s="89"/>
      <c r="G541" s="89"/>
      <c r="H541" s="89"/>
      <c r="I541" s="89"/>
      <c r="J541" s="89"/>
      <c r="K541" s="89"/>
    </row>
    <row r="542">
      <c r="B542" s="89"/>
      <c r="C542" s="89"/>
      <c r="D542" s="89"/>
      <c r="E542" s="89"/>
      <c r="F542" s="89"/>
      <c r="G542" s="89"/>
      <c r="H542" s="89"/>
      <c r="I542" s="89"/>
      <c r="J542" s="89"/>
      <c r="K542" s="89"/>
    </row>
    <row r="543">
      <c r="B543" s="89"/>
      <c r="C543" s="89"/>
      <c r="D543" s="89"/>
      <c r="E543" s="89"/>
      <c r="F543" s="89"/>
      <c r="G543" s="89"/>
      <c r="H543" s="89"/>
      <c r="I543" s="89"/>
      <c r="J543" s="89"/>
      <c r="K543" s="89"/>
    </row>
    <row r="544">
      <c r="B544" s="89"/>
      <c r="C544" s="89"/>
      <c r="D544" s="89"/>
      <c r="E544" s="89"/>
      <c r="F544" s="89"/>
      <c r="G544" s="89"/>
      <c r="H544" s="89"/>
      <c r="I544" s="89"/>
      <c r="J544" s="89"/>
      <c r="K544" s="89"/>
    </row>
    <row r="545">
      <c r="B545" s="89"/>
      <c r="C545" s="89"/>
      <c r="D545" s="89"/>
      <c r="E545" s="89"/>
      <c r="F545" s="89"/>
      <c r="G545" s="89"/>
      <c r="H545" s="89"/>
      <c r="I545" s="89"/>
      <c r="J545" s="89"/>
      <c r="K545" s="89"/>
    </row>
    <row r="546">
      <c r="B546" s="89"/>
      <c r="C546" s="89"/>
      <c r="D546" s="89"/>
      <c r="E546" s="89"/>
      <c r="F546" s="89"/>
      <c r="G546" s="89"/>
      <c r="H546" s="89"/>
      <c r="I546" s="89"/>
      <c r="J546" s="89"/>
      <c r="K546" s="89"/>
    </row>
    <row r="547">
      <c r="B547" s="89"/>
      <c r="C547" s="89"/>
      <c r="D547" s="89"/>
      <c r="E547" s="89"/>
      <c r="F547" s="89"/>
      <c r="G547" s="89"/>
      <c r="H547" s="89"/>
      <c r="I547" s="89"/>
      <c r="J547" s="89"/>
      <c r="K547" s="89"/>
    </row>
    <row r="548">
      <c r="B548" s="89"/>
      <c r="C548" s="89"/>
      <c r="D548" s="89"/>
      <c r="E548" s="89"/>
      <c r="F548" s="89"/>
      <c r="G548" s="89"/>
      <c r="H548" s="89"/>
      <c r="I548" s="89"/>
      <c r="J548" s="89"/>
      <c r="K548" s="89"/>
    </row>
    <row r="549">
      <c r="B549" s="89"/>
      <c r="C549" s="89"/>
      <c r="D549" s="89"/>
      <c r="E549" s="89"/>
      <c r="F549" s="89"/>
      <c r="G549" s="89"/>
      <c r="H549" s="89"/>
      <c r="I549" s="89"/>
      <c r="J549" s="89"/>
      <c r="K549" s="89"/>
    </row>
    <row r="550">
      <c r="B550" s="89"/>
      <c r="C550" s="89"/>
      <c r="D550" s="89"/>
      <c r="E550" s="89"/>
      <c r="F550" s="89"/>
      <c r="G550" s="89"/>
      <c r="H550" s="89"/>
      <c r="I550" s="89"/>
      <c r="J550" s="89"/>
      <c r="K550" s="89"/>
    </row>
    <row r="551">
      <c r="B551" s="89"/>
      <c r="C551" s="89"/>
      <c r="D551" s="89"/>
      <c r="E551" s="89"/>
      <c r="F551" s="89"/>
      <c r="G551" s="89"/>
      <c r="H551" s="89"/>
      <c r="I551" s="89"/>
      <c r="J551" s="89"/>
      <c r="K551" s="89"/>
    </row>
    <row r="552">
      <c r="B552" s="89"/>
      <c r="C552" s="89"/>
      <c r="D552" s="89"/>
      <c r="E552" s="89"/>
      <c r="F552" s="89"/>
      <c r="G552" s="89"/>
      <c r="H552" s="89"/>
      <c r="I552" s="89"/>
      <c r="J552" s="89"/>
      <c r="K552" s="89"/>
    </row>
    <row r="553">
      <c r="B553" s="89"/>
      <c r="C553" s="89"/>
      <c r="D553" s="89"/>
      <c r="E553" s="89"/>
      <c r="F553" s="89"/>
      <c r="G553" s="89"/>
      <c r="H553" s="89"/>
      <c r="I553" s="89"/>
      <c r="J553" s="89"/>
      <c r="K553" s="89"/>
    </row>
    <row r="554">
      <c r="B554" s="89"/>
      <c r="C554" s="89"/>
      <c r="D554" s="89"/>
      <c r="E554" s="89"/>
      <c r="F554" s="89"/>
      <c r="G554" s="89"/>
      <c r="H554" s="89"/>
      <c r="I554" s="89"/>
      <c r="J554" s="89"/>
      <c r="K554" s="89"/>
    </row>
    <row r="555">
      <c r="B555" s="89"/>
      <c r="C555" s="89"/>
      <c r="D555" s="89"/>
      <c r="E555" s="89"/>
      <c r="F555" s="89"/>
      <c r="G555" s="89"/>
      <c r="H555" s="89"/>
      <c r="I555" s="89"/>
      <c r="J555" s="89"/>
      <c r="K555" s="89"/>
    </row>
    <row r="556">
      <c r="B556" s="89"/>
      <c r="C556" s="89"/>
      <c r="D556" s="89"/>
      <c r="E556" s="89"/>
      <c r="F556" s="89"/>
      <c r="G556" s="89"/>
      <c r="H556" s="89"/>
      <c r="I556" s="89"/>
      <c r="J556" s="89"/>
      <c r="K556" s="89"/>
    </row>
    <row r="557">
      <c r="B557" s="89"/>
      <c r="C557" s="89"/>
      <c r="D557" s="89"/>
      <c r="E557" s="89"/>
      <c r="F557" s="89"/>
      <c r="G557" s="89"/>
      <c r="H557" s="89"/>
      <c r="I557" s="89"/>
      <c r="J557" s="89"/>
      <c r="K557" s="89"/>
    </row>
    <row r="558">
      <c r="B558" s="89"/>
      <c r="C558" s="89"/>
      <c r="D558" s="89"/>
      <c r="E558" s="89"/>
      <c r="F558" s="89"/>
      <c r="G558" s="89"/>
      <c r="H558" s="89"/>
      <c r="I558" s="89"/>
      <c r="J558" s="89"/>
      <c r="K558" s="89"/>
    </row>
    <row r="559">
      <c r="B559" s="89"/>
      <c r="C559" s="89"/>
      <c r="D559" s="89"/>
      <c r="E559" s="89"/>
      <c r="F559" s="89"/>
      <c r="G559" s="89"/>
      <c r="H559" s="89"/>
      <c r="I559" s="89"/>
      <c r="J559" s="89"/>
      <c r="K559" s="89"/>
    </row>
    <row r="560">
      <c r="B560" s="89"/>
      <c r="C560" s="89"/>
      <c r="D560" s="89"/>
      <c r="E560" s="89"/>
      <c r="F560" s="89"/>
      <c r="G560" s="89"/>
      <c r="H560" s="89"/>
      <c r="I560" s="89"/>
      <c r="J560" s="89"/>
      <c r="K560" s="89"/>
    </row>
    <row r="561">
      <c r="B561" s="89"/>
      <c r="C561" s="89"/>
      <c r="D561" s="89"/>
      <c r="E561" s="89"/>
      <c r="F561" s="89"/>
      <c r="G561" s="89"/>
      <c r="H561" s="89"/>
      <c r="I561" s="89"/>
      <c r="J561" s="89"/>
      <c r="K561" s="89"/>
    </row>
    <row r="562">
      <c r="B562" s="89"/>
      <c r="C562" s="89"/>
      <c r="D562" s="89"/>
      <c r="E562" s="89"/>
      <c r="F562" s="89"/>
      <c r="G562" s="89"/>
      <c r="H562" s="89"/>
      <c r="I562" s="89"/>
      <c r="J562" s="89"/>
      <c r="K562" s="89"/>
    </row>
    <row r="563">
      <c r="B563" s="89"/>
      <c r="C563" s="89"/>
      <c r="D563" s="89"/>
      <c r="E563" s="89"/>
      <c r="F563" s="89"/>
      <c r="G563" s="89"/>
      <c r="H563" s="89"/>
      <c r="I563" s="89"/>
      <c r="J563" s="89"/>
      <c r="K563" s="89"/>
    </row>
    <row r="564">
      <c r="B564" s="89"/>
      <c r="C564" s="89"/>
      <c r="D564" s="89"/>
      <c r="E564" s="89"/>
      <c r="F564" s="89"/>
      <c r="G564" s="89"/>
      <c r="H564" s="89"/>
      <c r="I564" s="89"/>
      <c r="J564" s="89"/>
      <c r="K564" s="89"/>
    </row>
    <row r="565">
      <c r="B565" s="89"/>
      <c r="C565" s="89"/>
      <c r="D565" s="89"/>
      <c r="E565" s="89"/>
      <c r="F565" s="89"/>
      <c r="G565" s="89"/>
      <c r="H565" s="89"/>
      <c r="I565" s="89"/>
      <c r="J565" s="89"/>
      <c r="K565" s="89"/>
    </row>
    <row r="566">
      <c r="B566" s="89"/>
      <c r="C566" s="89"/>
      <c r="D566" s="89"/>
      <c r="E566" s="89"/>
      <c r="F566" s="89"/>
      <c r="G566" s="89"/>
      <c r="H566" s="89"/>
      <c r="I566" s="89"/>
      <c r="J566" s="89"/>
      <c r="K566" s="89"/>
    </row>
    <row r="567">
      <c r="B567" s="89"/>
      <c r="C567" s="89"/>
      <c r="D567" s="89"/>
      <c r="E567" s="89"/>
      <c r="F567" s="89"/>
      <c r="G567" s="89"/>
      <c r="H567" s="89"/>
      <c r="I567" s="89"/>
      <c r="J567" s="89"/>
      <c r="K567" s="89"/>
    </row>
    <row r="568">
      <c r="B568" s="89"/>
      <c r="C568" s="89"/>
      <c r="D568" s="89"/>
      <c r="E568" s="89"/>
      <c r="F568" s="89"/>
      <c r="G568" s="89"/>
      <c r="H568" s="89"/>
      <c r="I568" s="89"/>
      <c r="J568" s="89"/>
      <c r="K568" s="89"/>
    </row>
    <row r="569">
      <c r="B569" s="89"/>
      <c r="C569" s="89"/>
      <c r="D569" s="89"/>
      <c r="E569" s="89"/>
      <c r="F569" s="89"/>
      <c r="G569" s="89"/>
      <c r="H569" s="89"/>
      <c r="I569" s="89"/>
      <c r="J569" s="89"/>
      <c r="K569" s="89"/>
    </row>
    <row r="570">
      <c r="B570" s="89"/>
      <c r="C570" s="89"/>
      <c r="D570" s="89"/>
      <c r="E570" s="89"/>
      <c r="F570" s="89"/>
      <c r="G570" s="89"/>
      <c r="H570" s="89"/>
      <c r="I570" s="89"/>
      <c r="J570" s="89"/>
      <c r="K570" s="89"/>
    </row>
    <row r="571">
      <c r="B571" s="89"/>
      <c r="C571" s="89"/>
      <c r="D571" s="89"/>
      <c r="E571" s="89"/>
      <c r="F571" s="89"/>
      <c r="G571" s="89"/>
      <c r="H571" s="89"/>
      <c r="I571" s="89"/>
      <c r="J571" s="89"/>
      <c r="K571" s="89"/>
    </row>
    <row r="572">
      <c r="B572" s="89"/>
      <c r="C572" s="89"/>
      <c r="D572" s="89"/>
      <c r="E572" s="89"/>
      <c r="F572" s="89"/>
      <c r="G572" s="89"/>
      <c r="H572" s="89"/>
      <c r="I572" s="89"/>
      <c r="J572" s="89"/>
      <c r="K572" s="89"/>
    </row>
    <row r="573">
      <c r="B573" s="89"/>
      <c r="C573" s="89"/>
      <c r="D573" s="89"/>
      <c r="E573" s="89"/>
      <c r="F573" s="89"/>
      <c r="G573" s="89"/>
      <c r="H573" s="89"/>
      <c r="I573" s="89"/>
      <c r="J573" s="89"/>
      <c r="K573" s="89"/>
    </row>
    <row r="574">
      <c r="B574" s="89"/>
      <c r="C574" s="89"/>
      <c r="D574" s="89"/>
      <c r="E574" s="89"/>
      <c r="F574" s="89"/>
      <c r="G574" s="89"/>
      <c r="H574" s="89"/>
      <c r="I574" s="89"/>
      <c r="J574" s="89"/>
      <c r="K574" s="89"/>
    </row>
    <row r="575">
      <c r="B575" s="89"/>
      <c r="C575" s="89"/>
      <c r="D575" s="89"/>
      <c r="E575" s="89"/>
      <c r="F575" s="89"/>
      <c r="G575" s="89"/>
      <c r="H575" s="89"/>
      <c r="I575" s="89"/>
      <c r="J575" s="89"/>
      <c r="K575" s="89"/>
    </row>
    <row r="576">
      <c r="B576" s="89"/>
      <c r="C576" s="89"/>
      <c r="D576" s="89"/>
      <c r="E576" s="89"/>
      <c r="F576" s="89"/>
      <c r="G576" s="89"/>
      <c r="H576" s="89"/>
      <c r="I576" s="89"/>
      <c r="J576" s="89"/>
      <c r="K576" s="89"/>
    </row>
    <row r="577">
      <c r="B577" s="89"/>
      <c r="C577" s="89"/>
      <c r="D577" s="89"/>
      <c r="E577" s="89"/>
      <c r="F577" s="89"/>
      <c r="G577" s="89"/>
      <c r="H577" s="89"/>
      <c r="I577" s="89"/>
      <c r="J577" s="89"/>
      <c r="K577" s="89"/>
    </row>
    <row r="578">
      <c r="B578" s="89"/>
      <c r="C578" s="89"/>
      <c r="D578" s="89"/>
      <c r="E578" s="89"/>
      <c r="F578" s="89"/>
      <c r="G578" s="89"/>
      <c r="H578" s="89"/>
      <c r="I578" s="89"/>
      <c r="J578" s="89"/>
      <c r="K578" s="89"/>
    </row>
    <row r="579">
      <c r="B579" s="89"/>
      <c r="C579" s="89"/>
      <c r="D579" s="89"/>
      <c r="E579" s="89"/>
      <c r="F579" s="89"/>
      <c r="G579" s="89"/>
      <c r="H579" s="89"/>
      <c r="I579" s="89"/>
      <c r="J579" s="89"/>
      <c r="K579" s="89"/>
    </row>
    <row r="580">
      <c r="B580" s="89"/>
      <c r="C580" s="89"/>
      <c r="D580" s="89"/>
      <c r="E580" s="89"/>
      <c r="F580" s="89"/>
      <c r="G580" s="89"/>
      <c r="H580" s="89"/>
      <c r="I580" s="89"/>
      <c r="J580" s="89"/>
      <c r="K580" s="89"/>
    </row>
    <row r="581">
      <c r="B581" s="89"/>
      <c r="C581" s="89"/>
      <c r="D581" s="89"/>
      <c r="E581" s="89"/>
      <c r="F581" s="89"/>
      <c r="G581" s="89"/>
      <c r="H581" s="89"/>
      <c r="I581" s="89"/>
      <c r="J581" s="89"/>
      <c r="K581" s="89"/>
    </row>
    <row r="582">
      <c r="B582" s="89"/>
      <c r="C582" s="89"/>
      <c r="D582" s="89"/>
      <c r="E582" s="89"/>
      <c r="F582" s="89"/>
      <c r="G582" s="89"/>
      <c r="H582" s="89"/>
      <c r="I582" s="89"/>
      <c r="J582" s="89"/>
      <c r="K582" s="89"/>
    </row>
    <row r="583">
      <c r="B583" s="89"/>
      <c r="C583" s="89"/>
      <c r="D583" s="89"/>
      <c r="E583" s="89"/>
      <c r="F583" s="89"/>
      <c r="G583" s="89"/>
      <c r="H583" s="89"/>
      <c r="I583" s="89"/>
      <c r="J583" s="89"/>
      <c r="K583" s="89"/>
    </row>
    <row r="584">
      <c r="B584" s="89"/>
      <c r="C584" s="89"/>
      <c r="D584" s="89"/>
      <c r="E584" s="89"/>
      <c r="F584" s="89"/>
      <c r="G584" s="89"/>
      <c r="H584" s="89"/>
      <c r="I584" s="89"/>
      <c r="J584" s="89"/>
      <c r="K584" s="89"/>
    </row>
    <row r="585">
      <c r="B585" s="89"/>
      <c r="C585" s="89"/>
      <c r="D585" s="89"/>
      <c r="E585" s="89"/>
      <c r="F585" s="89"/>
      <c r="G585" s="89"/>
      <c r="H585" s="89"/>
      <c r="I585" s="89"/>
      <c r="J585" s="89"/>
      <c r="K585" s="89"/>
    </row>
    <row r="586">
      <c r="B586" s="89"/>
      <c r="C586" s="89"/>
      <c r="D586" s="89"/>
      <c r="E586" s="89"/>
      <c r="F586" s="89"/>
      <c r="G586" s="89"/>
      <c r="H586" s="89"/>
      <c r="I586" s="89"/>
      <c r="J586" s="89"/>
      <c r="K586" s="89"/>
    </row>
    <row r="587">
      <c r="B587" s="89"/>
      <c r="C587" s="89"/>
      <c r="D587" s="89"/>
      <c r="E587" s="89"/>
      <c r="F587" s="89"/>
      <c r="G587" s="89"/>
      <c r="H587" s="89"/>
      <c r="I587" s="89"/>
      <c r="J587" s="89"/>
      <c r="K587" s="89"/>
    </row>
    <row r="588">
      <c r="B588" s="89"/>
      <c r="C588" s="89"/>
      <c r="D588" s="89"/>
      <c r="E588" s="89"/>
      <c r="F588" s="89"/>
      <c r="G588" s="89"/>
      <c r="H588" s="89"/>
      <c r="I588" s="89"/>
      <c r="J588" s="89"/>
      <c r="K588" s="89"/>
    </row>
    <row r="589">
      <c r="B589" s="89"/>
      <c r="C589" s="89"/>
      <c r="D589" s="89"/>
      <c r="E589" s="89"/>
      <c r="F589" s="89"/>
      <c r="G589" s="89"/>
      <c r="H589" s="89"/>
      <c r="I589" s="89"/>
      <c r="J589" s="89"/>
      <c r="K589" s="89"/>
    </row>
    <row r="590">
      <c r="B590" s="89"/>
      <c r="C590" s="89"/>
      <c r="D590" s="89"/>
      <c r="E590" s="89"/>
      <c r="F590" s="89"/>
      <c r="G590" s="89"/>
      <c r="H590" s="89"/>
      <c r="I590" s="89"/>
      <c r="J590" s="89"/>
      <c r="K590" s="89"/>
    </row>
    <row r="591">
      <c r="B591" s="89"/>
      <c r="C591" s="89"/>
      <c r="D591" s="89"/>
      <c r="E591" s="89"/>
      <c r="F591" s="89"/>
      <c r="G591" s="89"/>
      <c r="H591" s="89"/>
      <c r="I591" s="89"/>
      <c r="J591" s="89"/>
      <c r="K591" s="89"/>
    </row>
    <row r="592">
      <c r="B592" s="89"/>
      <c r="C592" s="89"/>
      <c r="D592" s="89"/>
      <c r="E592" s="89"/>
      <c r="F592" s="89"/>
      <c r="G592" s="89"/>
      <c r="H592" s="89"/>
      <c r="I592" s="89"/>
      <c r="J592" s="89"/>
      <c r="K592" s="89"/>
    </row>
    <row r="593">
      <c r="B593" s="89"/>
      <c r="C593" s="89"/>
      <c r="D593" s="89"/>
      <c r="E593" s="89"/>
      <c r="F593" s="89"/>
      <c r="G593" s="89"/>
      <c r="H593" s="89"/>
      <c r="I593" s="89"/>
      <c r="J593" s="89"/>
      <c r="K593" s="89"/>
    </row>
    <row r="594">
      <c r="B594" s="89"/>
      <c r="C594" s="89"/>
      <c r="D594" s="89"/>
      <c r="E594" s="89"/>
      <c r="F594" s="89"/>
      <c r="G594" s="89"/>
      <c r="H594" s="89"/>
      <c r="I594" s="89"/>
      <c r="J594" s="89"/>
      <c r="K594" s="89"/>
    </row>
    <row r="595">
      <c r="B595" s="89"/>
      <c r="C595" s="89"/>
      <c r="D595" s="89"/>
      <c r="E595" s="89"/>
      <c r="F595" s="89"/>
      <c r="G595" s="89"/>
      <c r="H595" s="89"/>
      <c r="I595" s="89"/>
      <c r="J595" s="89"/>
      <c r="K595" s="89"/>
    </row>
    <row r="596">
      <c r="B596" s="89"/>
      <c r="C596" s="89"/>
      <c r="D596" s="89"/>
      <c r="E596" s="89"/>
      <c r="F596" s="89"/>
      <c r="G596" s="89"/>
      <c r="H596" s="89"/>
      <c r="I596" s="89"/>
      <c r="J596" s="89"/>
      <c r="K596" s="89"/>
    </row>
    <row r="597">
      <c r="B597" s="89"/>
      <c r="C597" s="89"/>
      <c r="D597" s="89"/>
      <c r="E597" s="89"/>
      <c r="F597" s="89"/>
      <c r="G597" s="89"/>
      <c r="H597" s="89"/>
      <c r="I597" s="89"/>
      <c r="J597" s="89"/>
      <c r="K597" s="89"/>
    </row>
    <row r="598">
      <c r="B598" s="89"/>
      <c r="C598" s="89"/>
      <c r="D598" s="89"/>
      <c r="E598" s="89"/>
      <c r="F598" s="89"/>
      <c r="G598" s="89"/>
      <c r="H598" s="89"/>
      <c r="I598" s="89"/>
      <c r="J598" s="89"/>
      <c r="K598" s="89"/>
    </row>
    <row r="599">
      <c r="B599" s="89"/>
      <c r="C599" s="89"/>
      <c r="D599" s="89"/>
      <c r="E599" s="89"/>
      <c r="F599" s="89"/>
      <c r="G599" s="89"/>
      <c r="H599" s="89"/>
      <c r="I599" s="89"/>
      <c r="J599" s="89"/>
      <c r="K599" s="89"/>
    </row>
    <row r="600">
      <c r="B600" s="89"/>
      <c r="C600" s="89"/>
      <c r="D600" s="89"/>
      <c r="E600" s="89"/>
      <c r="F600" s="89"/>
      <c r="G600" s="89"/>
      <c r="H600" s="89"/>
      <c r="I600" s="89"/>
      <c r="J600" s="89"/>
      <c r="K600" s="89"/>
    </row>
    <row r="601">
      <c r="B601" s="89"/>
      <c r="C601" s="89"/>
      <c r="D601" s="89"/>
      <c r="E601" s="89"/>
      <c r="F601" s="89"/>
      <c r="G601" s="89"/>
      <c r="H601" s="89"/>
      <c r="I601" s="89"/>
      <c r="J601" s="89"/>
      <c r="K601" s="89"/>
    </row>
    <row r="602">
      <c r="B602" s="89"/>
      <c r="C602" s="89"/>
      <c r="D602" s="89"/>
      <c r="E602" s="89"/>
      <c r="F602" s="89"/>
      <c r="G602" s="89"/>
      <c r="H602" s="89"/>
      <c r="I602" s="89"/>
      <c r="J602" s="89"/>
      <c r="K602" s="89"/>
    </row>
    <row r="603">
      <c r="B603" s="89"/>
      <c r="C603" s="89"/>
      <c r="D603" s="89"/>
      <c r="E603" s="89"/>
      <c r="F603" s="89"/>
      <c r="G603" s="89"/>
      <c r="H603" s="89"/>
      <c r="I603" s="89"/>
      <c r="J603" s="89"/>
      <c r="K603" s="89"/>
    </row>
    <row r="604">
      <c r="B604" s="89"/>
      <c r="C604" s="89"/>
      <c r="D604" s="89"/>
      <c r="E604" s="89"/>
      <c r="F604" s="89"/>
      <c r="G604" s="89"/>
      <c r="H604" s="89"/>
      <c r="I604" s="89"/>
      <c r="J604" s="89"/>
      <c r="K604" s="89"/>
    </row>
    <row r="605">
      <c r="B605" s="89"/>
      <c r="C605" s="89"/>
      <c r="D605" s="89"/>
      <c r="E605" s="89"/>
      <c r="F605" s="89"/>
      <c r="G605" s="89"/>
      <c r="H605" s="89"/>
      <c r="I605" s="89"/>
      <c r="J605" s="89"/>
      <c r="K605" s="89"/>
    </row>
    <row r="606">
      <c r="B606" s="89"/>
      <c r="C606" s="89"/>
      <c r="D606" s="89"/>
      <c r="E606" s="89"/>
      <c r="F606" s="89"/>
      <c r="G606" s="89"/>
      <c r="H606" s="89"/>
      <c r="I606" s="89"/>
      <c r="J606" s="89"/>
      <c r="K606" s="89"/>
    </row>
    <row r="607">
      <c r="B607" s="89"/>
      <c r="C607" s="89"/>
      <c r="D607" s="89"/>
      <c r="E607" s="89"/>
      <c r="F607" s="89"/>
      <c r="G607" s="89"/>
      <c r="H607" s="89"/>
      <c r="I607" s="89"/>
      <c r="J607" s="89"/>
      <c r="K607" s="89"/>
    </row>
    <row r="608">
      <c r="B608" s="89"/>
      <c r="C608" s="89"/>
      <c r="D608" s="89"/>
      <c r="E608" s="89"/>
      <c r="F608" s="89"/>
      <c r="G608" s="89"/>
      <c r="H608" s="89"/>
      <c r="I608" s="89"/>
      <c r="J608" s="89"/>
      <c r="K608" s="89"/>
    </row>
    <row r="609">
      <c r="B609" s="89"/>
      <c r="C609" s="89"/>
      <c r="D609" s="89"/>
      <c r="E609" s="89"/>
      <c r="F609" s="89"/>
      <c r="G609" s="89"/>
      <c r="H609" s="89"/>
      <c r="I609" s="89"/>
      <c r="J609" s="89"/>
      <c r="K609" s="89"/>
    </row>
    <row r="610">
      <c r="B610" s="89"/>
      <c r="C610" s="89"/>
      <c r="D610" s="89"/>
      <c r="E610" s="89"/>
      <c r="F610" s="89"/>
      <c r="G610" s="89"/>
      <c r="H610" s="89"/>
      <c r="I610" s="89"/>
      <c r="J610" s="89"/>
      <c r="K610" s="89"/>
    </row>
    <row r="611">
      <c r="B611" s="89"/>
      <c r="C611" s="89"/>
      <c r="D611" s="89"/>
      <c r="E611" s="89"/>
      <c r="F611" s="89"/>
      <c r="G611" s="89"/>
      <c r="H611" s="89"/>
      <c r="I611" s="89"/>
      <c r="J611" s="89"/>
      <c r="K611" s="89"/>
    </row>
    <row r="612">
      <c r="B612" s="89"/>
      <c r="C612" s="89"/>
      <c r="D612" s="89"/>
      <c r="E612" s="89"/>
      <c r="F612" s="89"/>
      <c r="G612" s="89"/>
      <c r="H612" s="89"/>
      <c r="I612" s="89"/>
      <c r="J612" s="89"/>
      <c r="K612" s="89"/>
    </row>
    <row r="613">
      <c r="B613" s="89"/>
      <c r="C613" s="89"/>
      <c r="D613" s="89"/>
      <c r="E613" s="89"/>
      <c r="F613" s="89"/>
      <c r="G613" s="89"/>
      <c r="H613" s="89"/>
      <c r="I613" s="89"/>
      <c r="J613" s="89"/>
      <c r="K613" s="89"/>
    </row>
    <row r="614">
      <c r="B614" s="89"/>
      <c r="C614" s="89"/>
      <c r="D614" s="89"/>
      <c r="E614" s="89"/>
      <c r="F614" s="89"/>
      <c r="G614" s="89"/>
      <c r="H614" s="89"/>
      <c r="I614" s="89"/>
      <c r="J614" s="89"/>
      <c r="K614" s="89"/>
    </row>
    <row r="615">
      <c r="B615" s="89"/>
      <c r="C615" s="89"/>
      <c r="D615" s="89"/>
      <c r="E615" s="89"/>
      <c r="F615" s="89"/>
      <c r="G615" s="89"/>
      <c r="H615" s="89"/>
      <c r="I615" s="89"/>
      <c r="J615" s="89"/>
      <c r="K615" s="89"/>
    </row>
    <row r="616">
      <c r="B616" s="89"/>
      <c r="C616" s="89"/>
      <c r="D616" s="89"/>
      <c r="E616" s="89"/>
      <c r="F616" s="89"/>
      <c r="G616" s="89"/>
      <c r="H616" s="89"/>
      <c r="I616" s="89"/>
      <c r="J616" s="89"/>
      <c r="K616" s="89"/>
    </row>
    <row r="617">
      <c r="B617" s="89"/>
      <c r="C617" s="89"/>
      <c r="D617" s="89"/>
      <c r="E617" s="89"/>
      <c r="F617" s="89"/>
      <c r="G617" s="89"/>
      <c r="H617" s="89"/>
      <c r="I617" s="89"/>
      <c r="J617" s="89"/>
      <c r="K617" s="89"/>
    </row>
    <row r="618">
      <c r="B618" s="89"/>
      <c r="C618" s="89"/>
      <c r="D618" s="89"/>
      <c r="E618" s="89"/>
      <c r="F618" s="89"/>
      <c r="G618" s="89"/>
      <c r="H618" s="89"/>
      <c r="I618" s="89"/>
      <c r="J618" s="89"/>
      <c r="K618" s="89"/>
    </row>
    <row r="619">
      <c r="B619" s="89"/>
      <c r="C619" s="89"/>
      <c r="D619" s="89"/>
      <c r="E619" s="89"/>
      <c r="F619" s="89"/>
      <c r="G619" s="89"/>
      <c r="H619" s="89"/>
      <c r="I619" s="89"/>
      <c r="J619" s="89"/>
      <c r="K619" s="89"/>
    </row>
    <row r="620">
      <c r="B620" s="89"/>
      <c r="C620" s="89"/>
      <c r="D620" s="89"/>
      <c r="E620" s="89"/>
      <c r="F620" s="89"/>
      <c r="G620" s="89"/>
      <c r="H620" s="89"/>
      <c r="I620" s="89"/>
      <c r="J620" s="89"/>
      <c r="K620" s="89"/>
    </row>
    <row r="621">
      <c r="B621" s="89"/>
      <c r="C621" s="89"/>
      <c r="D621" s="89"/>
      <c r="E621" s="89"/>
      <c r="F621" s="89"/>
      <c r="G621" s="89"/>
      <c r="H621" s="89"/>
      <c r="I621" s="89"/>
      <c r="J621" s="89"/>
      <c r="K621" s="89"/>
    </row>
    <row r="622">
      <c r="B622" s="89"/>
      <c r="C622" s="89"/>
      <c r="D622" s="89"/>
      <c r="E622" s="89"/>
      <c r="F622" s="89"/>
      <c r="G622" s="89"/>
      <c r="H622" s="89"/>
      <c r="I622" s="89"/>
      <c r="J622" s="89"/>
      <c r="K622" s="89"/>
    </row>
    <row r="623">
      <c r="B623" s="89"/>
      <c r="C623" s="89"/>
      <c r="D623" s="89"/>
      <c r="E623" s="89"/>
      <c r="F623" s="89"/>
      <c r="G623" s="89"/>
      <c r="H623" s="89"/>
      <c r="I623" s="89"/>
      <c r="J623" s="89"/>
      <c r="K623" s="89"/>
    </row>
    <row r="624">
      <c r="B624" s="89"/>
      <c r="C624" s="89"/>
      <c r="D624" s="89"/>
      <c r="E624" s="89"/>
      <c r="F624" s="89"/>
      <c r="G624" s="89"/>
      <c r="H624" s="89"/>
      <c r="I624" s="89"/>
      <c r="J624" s="89"/>
      <c r="K624" s="89"/>
    </row>
    <row r="625">
      <c r="B625" s="89"/>
      <c r="C625" s="89"/>
      <c r="D625" s="89"/>
      <c r="E625" s="89"/>
      <c r="F625" s="89"/>
      <c r="G625" s="89"/>
      <c r="H625" s="89"/>
      <c r="I625" s="89"/>
      <c r="J625" s="89"/>
      <c r="K625" s="89"/>
    </row>
    <row r="626">
      <c r="B626" s="89"/>
      <c r="C626" s="89"/>
      <c r="D626" s="89"/>
      <c r="E626" s="89"/>
      <c r="F626" s="89"/>
      <c r="G626" s="89"/>
      <c r="H626" s="89"/>
      <c r="I626" s="89"/>
      <c r="J626" s="89"/>
      <c r="K626" s="89"/>
    </row>
    <row r="627">
      <c r="B627" s="89"/>
      <c r="C627" s="89"/>
      <c r="D627" s="89"/>
      <c r="E627" s="89"/>
      <c r="F627" s="89"/>
      <c r="G627" s="89"/>
      <c r="H627" s="89"/>
      <c r="I627" s="89"/>
      <c r="J627" s="89"/>
      <c r="K627" s="89"/>
    </row>
    <row r="628">
      <c r="B628" s="89"/>
      <c r="C628" s="89"/>
      <c r="D628" s="89"/>
      <c r="E628" s="89"/>
      <c r="F628" s="89"/>
      <c r="G628" s="89"/>
      <c r="H628" s="89"/>
      <c r="I628" s="89"/>
      <c r="J628" s="89"/>
      <c r="K628" s="89"/>
    </row>
    <row r="629">
      <c r="B629" s="89"/>
      <c r="C629" s="89"/>
      <c r="D629" s="89"/>
      <c r="E629" s="89"/>
      <c r="F629" s="89"/>
      <c r="G629" s="89"/>
      <c r="H629" s="89"/>
      <c r="I629" s="89"/>
      <c r="J629" s="89"/>
      <c r="K629" s="89"/>
    </row>
    <row r="630">
      <c r="B630" s="89"/>
      <c r="C630" s="89"/>
      <c r="D630" s="89"/>
      <c r="E630" s="89"/>
      <c r="F630" s="89"/>
      <c r="G630" s="89"/>
      <c r="H630" s="89"/>
      <c r="I630" s="89"/>
      <c r="J630" s="89"/>
      <c r="K630" s="89"/>
    </row>
    <row r="631">
      <c r="B631" s="89"/>
      <c r="C631" s="89"/>
      <c r="D631" s="89"/>
      <c r="E631" s="89"/>
      <c r="F631" s="89"/>
      <c r="G631" s="89"/>
      <c r="H631" s="89"/>
      <c r="I631" s="89"/>
      <c r="J631" s="89"/>
      <c r="K631" s="89"/>
    </row>
    <row r="632">
      <c r="B632" s="89"/>
      <c r="C632" s="89"/>
      <c r="D632" s="89"/>
      <c r="E632" s="89"/>
      <c r="F632" s="89"/>
      <c r="G632" s="89"/>
      <c r="H632" s="89"/>
      <c r="I632" s="89"/>
      <c r="J632" s="89"/>
      <c r="K632" s="89"/>
    </row>
    <row r="633">
      <c r="B633" s="89"/>
      <c r="C633" s="89"/>
      <c r="D633" s="89"/>
      <c r="E633" s="89"/>
      <c r="F633" s="89"/>
      <c r="G633" s="89"/>
      <c r="H633" s="89"/>
      <c r="I633" s="89"/>
      <c r="J633" s="89"/>
      <c r="K633" s="89"/>
    </row>
    <row r="634">
      <c r="B634" s="89"/>
      <c r="C634" s="89"/>
      <c r="D634" s="89"/>
      <c r="E634" s="89"/>
      <c r="F634" s="89"/>
      <c r="G634" s="89"/>
      <c r="H634" s="89"/>
      <c r="I634" s="89"/>
      <c r="J634" s="89"/>
      <c r="K634" s="89"/>
    </row>
    <row r="635">
      <c r="B635" s="89"/>
      <c r="C635" s="89"/>
      <c r="D635" s="89"/>
      <c r="E635" s="89"/>
      <c r="F635" s="89"/>
      <c r="G635" s="89"/>
      <c r="H635" s="89"/>
      <c r="I635" s="89"/>
      <c r="J635" s="89"/>
      <c r="K635" s="89"/>
    </row>
    <row r="636">
      <c r="B636" s="89"/>
      <c r="C636" s="89"/>
      <c r="D636" s="89"/>
      <c r="E636" s="89"/>
      <c r="F636" s="89"/>
      <c r="G636" s="89"/>
      <c r="H636" s="89"/>
      <c r="I636" s="89"/>
      <c r="J636" s="89"/>
      <c r="K636" s="89"/>
    </row>
    <row r="637">
      <c r="B637" s="89"/>
      <c r="C637" s="89"/>
      <c r="D637" s="89"/>
      <c r="E637" s="89"/>
      <c r="F637" s="89"/>
      <c r="G637" s="89"/>
      <c r="H637" s="89"/>
      <c r="I637" s="89"/>
      <c r="J637" s="89"/>
      <c r="K637" s="89"/>
    </row>
    <row r="638">
      <c r="B638" s="89"/>
      <c r="C638" s="89"/>
      <c r="D638" s="89"/>
      <c r="E638" s="89"/>
      <c r="F638" s="89"/>
      <c r="G638" s="89"/>
      <c r="H638" s="89"/>
      <c r="I638" s="89"/>
      <c r="J638" s="89"/>
      <c r="K638" s="89"/>
    </row>
    <row r="639">
      <c r="B639" s="89"/>
      <c r="C639" s="89"/>
      <c r="D639" s="89"/>
      <c r="E639" s="89"/>
      <c r="F639" s="89"/>
      <c r="G639" s="89"/>
      <c r="H639" s="89"/>
      <c r="I639" s="89"/>
      <c r="J639" s="89"/>
      <c r="K639" s="89"/>
    </row>
    <row r="640">
      <c r="B640" s="89"/>
      <c r="C640" s="89"/>
      <c r="D640" s="89"/>
      <c r="E640" s="89"/>
      <c r="F640" s="89"/>
      <c r="G640" s="89"/>
      <c r="H640" s="89"/>
      <c r="I640" s="89"/>
      <c r="J640" s="89"/>
      <c r="K640" s="89"/>
    </row>
    <row r="641">
      <c r="B641" s="89"/>
      <c r="C641" s="89"/>
      <c r="D641" s="89"/>
      <c r="E641" s="89"/>
      <c r="F641" s="89"/>
      <c r="G641" s="89"/>
      <c r="H641" s="89"/>
      <c r="I641" s="89"/>
      <c r="J641" s="89"/>
      <c r="K641" s="89"/>
    </row>
    <row r="642">
      <c r="B642" s="89"/>
      <c r="C642" s="89"/>
      <c r="D642" s="89"/>
      <c r="E642" s="89"/>
      <c r="F642" s="89"/>
      <c r="G642" s="89"/>
      <c r="H642" s="89"/>
      <c r="I642" s="89"/>
      <c r="J642" s="89"/>
      <c r="K642" s="89"/>
    </row>
    <row r="643">
      <c r="B643" s="89"/>
      <c r="C643" s="89"/>
      <c r="D643" s="89"/>
      <c r="E643" s="89"/>
      <c r="F643" s="89"/>
      <c r="G643" s="89"/>
      <c r="H643" s="89"/>
      <c r="I643" s="89"/>
      <c r="J643" s="89"/>
      <c r="K643" s="89"/>
    </row>
    <row r="644">
      <c r="B644" s="89"/>
      <c r="C644" s="89"/>
      <c r="D644" s="89"/>
      <c r="E644" s="89"/>
      <c r="F644" s="89"/>
      <c r="G644" s="89"/>
      <c r="H644" s="89"/>
      <c r="I644" s="89"/>
      <c r="J644" s="89"/>
      <c r="K644" s="89"/>
    </row>
    <row r="645">
      <c r="B645" s="89"/>
      <c r="C645" s="89"/>
      <c r="D645" s="89"/>
      <c r="E645" s="89"/>
      <c r="F645" s="89"/>
      <c r="G645" s="89"/>
      <c r="H645" s="89"/>
      <c r="I645" s="89"/>
      <c r="J645" s="89"/>
      <c r="K645" s="89"/>
    </row>
    <row r="646">
      <c r="B646" s="89"/>
      <c r="C646" s="89"/>
      <c r="D646" s="89"/>
      <c r="E646" s="89"/>
      <c r="F646" s="89"/>
      <c r="G646" s="89"/>
      <c r="H646" s="89"/>
      <c r="I646" s="89"/>
      <c r="J646" s="89"/>
      <c r="K646" s="89"/>
    </row>
    <row r="647">
      <c r="B647" s="89"/>
      <c r="C647" s="89"/>
      <c r="D647" s="89"/>
      <c r="E647" s="89"/>
      <c r="F647" s="89"/>
      <c r="G647" s="89"/>
      <c r="H647" s="89"/>
      <c r="I647" s="89"/>
      <c r="J647" s="89"/>
      <c r="K647" s="89"/>
    </row>
    <row r="648">
      <c r="B648" s="89"/>
      <c r="C648" s="89"/>
      <c r="D648" s="89"/>
      <c r="E648" s="89"/>
      <c r="F648" s="89"/>
      <c r="G648" s="89"/>
      <c r="H648" s="89"/>
      <c r="I648" s="89"/>
      <c r="J648" s="89"/>
      <c r="K648" s="89"/>
    </row>
    <row r="649">
      <c r="B649" s="89"/>
      <c r="C649" s="89"/>
      <c r="D649" s="89"/>
      <c r="E649" s="89"/>
      <c r="F649" s="89"/>
      <c r="G649" s="89"/>
      <c r="H649" s="89"/>
      <c r="I649" s="89"/>
      <c r="J649" s="89"/>
      <c r="K649" s="89"/>
    </row>
    <row r="650">
      <c r="B650" s="89"/>
      <c r="C650" s="89"/>
      <c r="D650" s="89"/>
      <c r="E650" s="89"/>
      <c r="F650" s="89"/>
      <c r="G650" s="89"/>
      <c r="H650" s="89"/>
      <c r="I650" s="89"/>
      <c r="J650" s="89"/>
      <c r="K650" s="89"/>
    </row>
    <row r="651">
      <c r="B651" s="89"/>
      <c r="C651" s="89"/>
      <c r="D651" s="89"/>
      <c r="E651" s="89"/>
      <c r="F651" s="89"/>
      <c r="G651" s="89"/>
      <c r="H651" s="89"/>
      <c r="I651" s="89"/>
      <c r="J651" s="89"/>
      <c r="K651" s="89"/>
    </row>
    <row r="652">
      <c r="B652" s="89"/>
      <c r="C652" s="89"/>
      <c r="D652" s="89"/>
      <c r="E652" s="89"/>
      <c r="F652" s="89"/>
      <c r="G652" s="89"/>
      <c r="H652" s="89"/>
      <c r="I652" s="89"/>
      <c r="J652" s="89"/>
      <c r="K652" s="89"/>
    </row>
    <row r="653">
      <c r="B653" s="89"/>
      <c r="C653" s="89"/>
      <c r="D653" s="89"/>
      <c r="E653" s="89"/>
      <c r="F653" s="89"/>
      <c r="G653" s="89"/>
      <c r="H653" s="89"/>
      <c r="I653" s="89"/>
      <c r="J653" s="89"/>
      <c r="K653" s="89"/>
    </row>
    <row r="654">
      <c r="B654" s="89"/>
      <c r="C654" s="89"/>
      <c r="D654" s="89"/>
      <c r="E654" s="89"/>
      <c r="F654" s="89"/>
      <c r="G654" s="89"/>
      <c r="H654" s="89"/>
      <c r="I654" s="89"/>
      <c r="J654" s="89"/>
      <c r="K654" s="89"/>
    </row>
    <row r="655">
      <c r="B655" s="89"/>
      <c r="C655" s="89"/>
      <c r="D655" s="89"/>
      <c r="E655" s="89"/>
      <c r="F655" s="89"/>
      <c r="G655" s="89"/>
      <c r="H655" s="89"/>
      <c r="I655" s="89"/>
      <c r="J655" s="89"/>
      <c r="K655" s="89"/>
    </row>
    <row r="656">
      <c r="B656" s="89"/>
      <c r="C656" s="89"/>
      <c r="D656" s="89"/>
      <c r="E656" s="89"/>
      <c r="F656" s="89"/>
      <c r="G656" s="89"/>
      <c r="H656" s="89"/>
      <c r="I656" s="89"/>
      <c r="J656" s="89"/>
      <c r="K656" s="89"/>
    </row>
    <row r="657">
      <c r="B657" s="89"/>
      <c r="C657" s="89"/>
      <c r="D657" s="89"/>
      <c r="E657" s="89"/>
      <c r="F657" s="89"/>
      <c r="G657" s="89"/>
      <c r="H657" s="89"/>
      <c r="I657" s="89"/>
      <c r="J657" s="89"/>
      <c r="K657" s="89"/>
    </row>
    <row r="658">
      <c r="B658" s="89"/>
      <c r="C658" s="89"/>
      <c r="D658" s="89"/>
      <c r="E658" s="89"/>
      <c r="F658" s="89"/>
      <c r="G658" s="89"/>
      <c r="H658" s="89"/>
      <c r="I658" s="89"/>
      <c r="J658" s="89"/>
      <c r="K658" s="89"/>
    </row>
    <row r="659">
      <c r="B659" s="89"/>
      <c r="C659" s="89"/>
      <c r="D659" s="89"/>
      <c r="E659" s="89"/>
      <c r="F659" s="89"/>
      <c r="G659" s="89"/>
      <c r="H659" s="89"/>
      <c r="I659" s="89"/>
      <c r="J659" s="89"/>
      <c r="K659" s="89"/>
    </row>
    <row r="660">
      <c r="B660" s="89"/>
      <c r="C660" s="89"/>
      <c r="D660" s="89"/>
      <c r="E660" s="89"/>
      <c r="F660" s="89"/>
      <c r="G660" s="89"/>
      <c r="H660" s="89"/>
      <c r="I660" s="89"/>
      <c r="J660" s="89"/>
      <c r="K660" s="89"/>
    </row>
    <row r="661">
      <c r="B661" s="89"/>
      <c r="C661" s="89"/>
      <c r="D661" s="89"/>
      <c r="E661" s="89"/>
      <c r="F661" s="89"/>
      <c r="G661" s="89"/>
      <c r="H661" s="89"/>
      <c r="I661" s="89"/>
      <c r="J661" s="89"/>
      <c r="K661" s="89"/>
    </row>
    <row r="662">
      <c r="B662" s="89"/>
      <c r="C662" s="89"/>
      <c r="D662" s="89"/>
      <c r="E662" s="89"/>
      <c r="F662" s="89"/>
      <c r="G662" s="89"/>
      <c r="H662" s="89"/>
      <c r="I662" s="89"/>
      <c r="J662" s="89"/>
      <c r="K662" s="89"/>
    </row>
    <row r="663">
      <c r="B663" s="89"/>
      <c r="C663" s="89"/>
      <c r="D663" s="89"/>
      <c r="E663" s="89"/>
      <c r="F663" s="89"/>
      <c r="G663" s="89"/>
      <c r="H663" s="89"/>
      <c r="I663" s="89"/>
      <c r="J663" s="89"/>
      <c r="K663" s="89"/>
    </row>
    <row r="664">
      <c r="B664" s="89"/>
      <c r="C664" s="89"/>
      <c r="D664" s="89"/>
      <c r="E664" s="89"/>
      <c r="F664" s="89"/>
      <c r="G664" s="89"/>
      <c r="H664" s="89"/>
      <c r="I664" s="89"/>
      <c r="J664" s="89"/>
      <c r="K664" s="89"/>
    </row>
    <row r="665">
      <c r="B665" s="89"/>
      <c r="C665" s="89"/>
      <c r="D665" s="89"/>
      <c r="E665" s="89"/>
      <c r="F665" s="89"/>
      <c r="G665" s="89"/>
      <c r="H665" s="89"/>
      <c r="I665" s="89"/>
      <c r="J665" s="89"/>
      <c r="K665" s="89"/>
    </row>
    <row r="666">
      <c r="B666" s="89"/>
      <c r="C666" s="89"/>
      <c r="D666" s="89"/>
      <c r="E666" s="89"/>
      <c r="F666" s="89"/>
      <c r="G666" s="89"/>
      <c r="H666" s="89"/>
      <c r="I666" s="89"/>
      <c r="J666" s="89"/>
      <c r="K666" s="89"/>
    </row>
    <row r="667">
      <c r="B667" s="89"/>
      <c r="C667" s="89"/>
      <c r="D667" s="89"/>
      <c r="E667" s="89"/>
      <c r="F667" s="89"/>
      <c r="G667" s="89"/>
      <c r="H667" s="89"/>
      <c r="I667" s="89"/>
      <c r="J667" s="89"/>
      <c r="K667" s="89"/>
    </row>
    <row r="668">
      <c r="B668" s="89"/>
      <c r="C668" s="89"/>
      <c r="D668" s="89"/>
      <c r="E668" s="89"/>
      <c r="F668" s="89"/>
      <c r="G668" s="89"/>
      <c r="H668" s="89"/>
      <c r="I668" s="89"/>
      <c r="J668" s="89"/>
      <c r="K668" s="89"/>
    </row>
    <row r="669">
      <c r="B669" s="89"/>
      <c r="C669" s="89"/>
      <c r="D669" s="89"/>
      <c r="E669" s="89"/>
      <c r="F669" s="89"/>
      <c r="G669" s="89"/>
      <c r="H669" s="89"/>
      <c r="I669" s="89"/>
      <c r="J669" s="89"/>
      <c r="K669" s="89"/>
    </row>
    <row r="670">
      <c r="B670" s="89"/>
      <c r="C670" s="89"/>
      <c r="D670" s="89"/>
      <c r="E670" s="89"/>
      <c r="F670" s="89"/>
      <c r="G670" s="89"/>
      <c r="H670" s="89"/>
      <c r="I670" s="89"/>
      <c r="J670" s="89"/>
      <c r="K670" s="89"/>
    </row>
    <row r="671">
      <c r="B671" s="89"/>
      <c r="C671" s="89"/>
      <c r="D671" s="89"/>
      <c r="E671" s="89"/>
      <c r="F671" s="89"/>
      <c r="G671" s="89"/>
      <c r="H671" s="89"/>
      <c r="I671" s="89"/>
      <c r="J671" s="89"/>
      <c r="K671" s="89"/>
    </row>
    <row r="672">
      <c r="B672" s="89"/>
      <c r="C672" s="89"/>
      <c r="D672" s="89"/>
      <c r="E672" s="89"/>
      <c r="F672" s="89"/>
      <c r="G672" s="89"/>
      <c r="H672" s="89"/>
      <c r="I672" s="89"/>
      <c r="J672" s="89"/>
      <c r="K672" s="89"/>
    </row>
    <row r="673">
      <c r="B673" s="89"/>
      <c r="C673" s="89"/>
      <c r="D673" s="89"/>
      <c r="E673" s="89"/>
      <c r="F673" s="89"/>
      <c r="G673" s="89"/>
      <c r="H673" s="89"/>
      <c r="I673" s="89"/>
      <c r="J673" s="89"/>
      <c r="K673" s="89"/>
    </row>
    <row r="674">
      <c r="B674" s="89"/>
      <c r="C674" s="89"/>
      <c r="D674" s="89"/>
      <c r="E674" s="89"/>
      <c r="F674" s="89"/>
      <c r="G674" s="89"/>
      <c r="H674" s="89"/>
      <c r="I674" s="89"/>
      <c r="J674" s="89"/>
      <c r="K674" s="89"/>
    </row>
    <row r="675">
      <c r="B675" s="89"/>
      <c r="C675" s="89"/>
      <c r="D675" s="89"/>
      <c r="E675" s="89"/>
      <c r="F675" s="89"/>
      <c r="G675" s="89"/>
      <c r="H675" s="89"/>
      <c r="I675" s="89"/>
      <c r="J675" s="89"/>
      <c r="K675" s="89"/>
    </row>
    <row r="676">
      <c r="B676" s="89"/>
      <c r="C676" s="89"/>
      <c r="D676" s="89"/>
      <c r="E676" s="89"/>
      <c r="F676" s="89"/>
      <c r="G676" s="89"/>
      <c r="H676" s="89"/>
      <c r="I676" s="89"/>
      <c r="J676" s="89"/>
      <c r="K676" s="89"/>
    </row>
    <row r="677">
      <c r="B677" s="89"/>
      <c r="C677" s="89"/>
      <c r="D677" s="89"/>
      <c r="E677" s="89"/>
      <c r="F677" s="89"/>
      <c r="G677" s="89"/>
      <c r="H677" s="89"/>
      <c r="I677" s="89"/>
      <c r="J677" s="89"/>
      <c r="K677" s="89"/>
    </row>
    <row r="678">
      <c r="B678" s="89"/>
      <c r="C678" s="89"/>
      <c r="D678" s="89"/>
      <c r="E678" s="89"/>
      <c r="F678" s="89"/>
      <c r="G678" s="89"/>
      <c r="H678" s="89"/>
      <c r="I678" s="89"/>
      <c r="J678" s="89"/>
      <c r="K678" s="89"/>
    </row>
    <row r="679">
      <c r="B679" s="89"/>
      <c r="C679" s="89"/>
      <c r="D679" s="89"/>
      <c r="E679" s="89"/>
      <c r="F679" s="89"/>
      <c r="G679" s="89"/>
      <c r="H679" s="89"/>
      <c r="I679" s="89"/>
      <c r="J679" s="89"/>
      <c r="K679" s="89"/>
    </row>
    <row r="680">
      <c r="B680" s="89"/>
      <c r="C680" s="89"/>
      <c r="D680" s="89"/>
      <c r="E680" s="89"/>
      <c r="F680" s="89"/>
      <c r="G680" s="89"/>
      <c r="H680" s="89"/>
      <c r="I680" s="89"/>
      <c r="J680" s="89"/>
      <c r="K680" s="89"/>
    </row>
    <row r="681">
      <c r="B681" s="89"/>
      <c r="C681" s="89"/>
      <c r="D681" s="89"/>
      <c r="E681" s="89"/>
      <c r="F681" s="89"/>
      <c r="G681" s="89"/>
      <c r="H681" s="89"/>
      <c r="I681" s="89"/>
      <c r="J681" s="89"/>
      <c r="K681" s="89"/>
    </row>
    <row r="682">
      <c r="B682" s="89"/>
      <c r="C682" s="89"/>
      <c r="D682" s="89"/>
      <c r="E682" s="89"/>
      <c r="F682" s="89"/>
      <c r="G682" s="89"/>
      <c r="H682" s="89"/>
      <c r="I682" s="89"/>
      <c r="J682" s="89"/>
      <c r="K682" s="89"/>
    </row>
    <row r="683">
      <c r="B683" s="89"/>
      <c r="C683" s="89"/>
      <c r="D683" s="89"/>
      <c r="E683" s="89"/>
      <c r="F683" s="89"/>
      <c r="G683" s="89"/>
      <c r="H683" s="89"/>
      <c r="I683" s="89"/>
      <c r="J683" s="89"/>
      <c r="K683" s="89"/>
    </row>
    <row r="684">
      <c r="B684" s="89"/>
      <c r="C684" s="89"/>
      <c r="D684" s="89"/>
      <c r="E684" s="89"/>
      <c r="F684" s="89"/>
      <c r="G684" s="89"/>
      <c r="H684" s="89"/>
      <c r="I684" s="89"/>
      <c r="J684" s="89"/>
      <c r="K684" s="89"/>
    </row>
    <row r="685">
      <c r="B685" s="89"/>
      <c r="C685" s="89"/>
      <c r="D685" s="89"/>
      <c r="E685" s="89"/>
      <c r="F685" s="89"/>
      <c r="G685" s="89"/>
      <c r="H685" s="89"/>
      <c r="I685" s="89"/>
      <c r="J685" s="89"/>
      <c r="K685" s="89"/>
    </row>
    <row r="686">
      <c r="B686" s="89"/>
      <c r="C686" s="89"/>
      <c r="D686" s="89"/>
      <c r="E686" s="89"/>
      <c r="F686" s="89"/>
      <c r="G686" s="89"/>
      <c r="H686" s="89"/>
      <c r="I686" s="89"/>
      <c r="J686" s="89"/>
      <c r="K686" s="89"/>
    </row>
    <row r="687">
      <c r="B687" s="89"/>
      <c r="C687" s="89"/>
      <c r="D687" s="89"/>
      <c r="E687" s="89"/>
      <c r="F687" s="89"/>
      <c r="G687" s="89"/>
      <c r="H687" s="89"/>
      <c r="I687" s="89"/>
      <c r="J687" s="89"/>
      <c r="K687" s="89"/>
    </row>
    <row r="688">
      <c r="B688" s="89"/>
      <c r="C688" s="89"/>
      <c r="D688" s="89"/>
      <c r="E688" s="89"/>
      <c r="F688" s="89"/>
      <c r="G688" s="89"/>
      <c r="H688" s="89"/>
      <c r="I688" s="89"/>
      <c r="J688" s="89"/>
      <c r="K688" s="89"/>
    </row>
    <row r="689">
      <c r="B689" s="89"/>
      <c r="C689" s="89"/>
      <c r="D689" s="89"/>
      <c r="E689" s="89"/>
      <c r="F689" s="89"/>
      <c r="G689" s="89"/>
      <c r="H689" s="89"/>
      <c r="I689" s="89"/>
      <c r="J689" s="89"/>
      <c r="K689" s="89"/>
    </row>
    <row r="690">
      <c r="B690" s="89"/>
      <c r="C690" s="89"/>
      <c r="D690" s="89"/>
      <c r="E690" s="89"/>
      <c r="F690" s="89"/>
      <c r="G690" s="89"/>
      <c r="H690" s="89"/>
      <c r="I690" s="89"/>
      <c r="J690" s="89"/>
      <c r="K690" s="89"/>
    </row>
    <row r="691">
      <c r="B691" s="89"/>
      <c r="C691" s="89"/>
      <c r="D691" s="89"/>
      <c r="E691" s="89"/>
      <c r="F691" s="89"/>
      <c r="G691" s="89"/>
      <c r="H691" s="89"/>
      <c r="I691" s="89"/>
      <c r="J691" s="89"/>
      <c r="K691" s="89"/>
    </row>
    <row r="692">
      <c r="B692" s="89"/>
      <c r="C692" s="89"/>
      <c r="D692" s="89"/>
      <c r="E692" s="89"/>
      <c r="F692" s="89"/>
      <c r="G692" s="89"/>
      <c r="H692" s="89"/>
      <c r="I692" s="89"/>
      <c r="J692" s="89"/>
      <c r="K692" s="89"/>
    </row>
    <row r="693">
      <c r="B693" s="89"/>
      <c r="C693" s="89"/>
      <c r="D693" s="89"/>
      <c r="E693" s="89"/>
      <c r="F693" s="89"/>
      <c r="G693" s="89"/>
      <c r="H693" s="89"/>
      <c r="I693" s="89"/>
      <c r="J693" s="89"/>
      <c r="K693" s="89"/>
    </row>
    <row r="694">
      <c r="B694" s="89"/>
      <c r="C694" s="89"/>
      <c r="D694" s="89"/>
      <c r="E694" s="89"/>
      <c r="F694" s="89"/>
      <c r="G694" s="89"/>
      <c r="H694" s="89"/>
      <c r="I694" s="89"/>
      <c r="J694" s="89"/>
      <c r="K694" s="89"/>
    </row>
    <row r="695">
      <c r="B695" s="89"/>
      <c r="C695" s="89"/>
      <c r="D695" s="89"/>
      <c r="E695" s="89"/>
      <c r="F695" s="89"/>
      <c r="G695" s="89"/>
      <c r="H695" s="89"/>
      <c r="I695" s="89"/>
      <c r="J695" s="89"/>
      <c r="K695" s="89"/>
    </row>
    <row r="696">
      <c r="B696" s="89"/>
      <c r="C696" s="89"/>
      <c r="D696" s="89"/>
      <c r="E696" s="89"/>
      <c r="F696" s="89"/>
      <c r="G696" s="89"/>
      <c r="H696" s="89"/>
      <c r="I696" s="89"/>
      <c r="J696" s="89"/>
      <c r="K696" s="89"/>
    </row>
    <row r="697">
      <c r="B697" s="89"/>
      <c r="C697" s="89"/>
      <c r="D697" s="89"/>
      <c r="E697" s="89"/>
      <c r="F697" s="89"/>
      <c r="G697" s="89"/>
      <c r="H697" s="89"/>
      <c r="I697" s="89"/>
      <c r="J697" s="89"/>
      <c r="K697" s="89"/>
    </row>
    <row r="698">
      <c r="B698" s="89"/>
      <c r="C698" s="89"/>
      <c r="D698" s="89"/>
      <c r="E698" s="89"/>
      <c r="F698" s="89"/>
      <c r="G698" s="89"/>
      <c r="H698" s="89"/>
      <c r="I698" s="89"/>
      <c r="J698" s="89"/>
      <c r="K698" s="89"/>
    </row>
    <row r="699">
      <c r="B699" s="89"/>
      <c r="C699" s="89"/>
      <c r="D699" s="89"/>
      <c r="E699" s="89"/>
      <c r="F699" s="89"/>
      <c r="G699" s="89"/>
      <c r="H699" s="89"/>
      <c r="I699" s="89"/>
      <c r="J699" s="89"/>
      <c r="K699" s="89"/>
    </row>
    <row r="700">
      <c r="B700" s="89"/>
      <c r="C700" s="89"/>
      <c r="D700" s="89"/>
      <c r="E700" s="89"/>
      <c r="F700" s="89"/>
      <c r="G700" s="89"/>
      <c r="H700" s="89"/>
      <c r="I700" s="89"/>
      <c r="J700" s="89"/>
      <c r="K700" s="89"/>
    </row>
    <row r="701">
      <c r="B701" s="89"/>
      <c r="C701" s="89"/>
      <c r="D701" s="89"/>
      <c r="E701" s="89"/>
      <c r="F701" s="89"/>
      <c r="G701" s="89"/>
      <c r="H701" s="89"/>
      <c r="I701" s="89"/>
      <c r="J701" s="89"/>
      <c r="K701" s="89"/>
    </row>
    <row r="702">
      <c r="B702" s="89"/>
      <c r="C702" s="89"/>
      <c r="D702" s="89"/>
      <c r="E702" s="89"/>
      <c r="F702" s="89"/>
      <c r="G702" s="89"/>
      <c r="H702" s="89"/>
      <c r="I702" s="89"/>
      <c r="J702" s="89"/>
      <c r="K702" s="89"/>
    </row>
    <row r="703">
      <c r="B703" s="89"/>
      <c r="C703" s="89"/>
      <c r="D703" s="89"/>
      <c r="E703" s="89"/>
      <c r="F703" s="89"/>
      <c r="G703" s="89"/>
      <c r="H703" s="89"/>
      <c r="I703" s="89"/>
      <c r="J703" s="89"/>
      <c r="K703" s="89"/>
    </row>
    <row r="704">
      <c r="B704" s="89"/>
      <c r="C704" s="89"/>
      <c r="D704" s="89"/>
      <c r="E704" s="89"/>
      <c r="F704" s="89"/>
      <c r="G704" s="89"/>
      <c r="H704" s="89"/>
      <c r="I704" s="89"/>
      <c r="J704" s="89"/>
      <c r="K704" s="89"/>
    </row>
    <row r="705">
      <c r="B705" s="89"/>
      <c r="C705" s="89"/>
      <c r="D705" s="89"/>
      <c r="E705" s="89"/>
      <c r="F705" s="89"/>
      <c r="G705" s="89"/>
      <c r="H705" s="89"/>
      <c r="I705" s="89"/>
      <c r="J705" s="89"/>
      <c r="K705" s="89"/>
    </row>
    <row r="706">
      <c r="B706" s="89"/>
      <c r="C706" s="89"/>
      <c r="D706" s="89"/>
      <c r="E706" s="89"/>
      <c r="F706" s="89"/>
      <c r="G706" s="89"/>
      <c r="H706" s="89"/>
      <c r="I706" s="89"/>
      <c r="J706" s="89"/>
      <c r="K706" s="89"/>
    </row>
    <row r="707">
      <c r="B707" s="89"/>
      <c r="C707" s="89"/>
      <c r="D707" s="89"/>
      <c r="E707" s="89"/>
      <c r="F707" s="89"/>
      <c r="G707" s="89"/>
      <c r="H707" s="89"/>
      <c r="I707" s="89"/>
      <c r="J707" s="89"/>
      <c r="K707" s="89"/>
    </row>
    <row r="708">
      <c r="B708" s="89"/>
      <c r="C708" s="89"/>
      <c r="D708" s="89"/>
      <c r="E708" s="89"/>
      <c r="F708" s="89"/>
      <c r="G708" s="89"/>
      <c r="H708" s="89"/>
      <c r="I708" s="89"/>
      <c r="J708" s="89"/>
      <c r="K708" s="89"/>
    </row>
    <row r="709">
      <c r="B709" s="89"/>
      <c r="C709" s="89"/>
      <c r="D709" s="89"/>
      <c r="E709" s="89"/>
      <c r="F709" s="89"/>
      <c r="G709" s="89"/>
      <c r="H709" s="89"/>
      <c r="I709" s="89"/>
      <c r="J709" s="89"/>
      <c r="K709" s="89"/>
    </row>
    <row r="710">
      <c r="B710" s="89"/>
      <c r="C710" s="89"/>
      <c r="D710" s="89"/>
      <c r="E710" s="89"/>
      <c r="F710" s="89"/>
      <c r="G710" s="89"/>
      <c r="H710" s="89"/>
      <c r="I710" s="89"/>
      <c r="J710" s="89"/>
      <c r="K710" s="89"/>
    </row>
    <row r="711">
      <c r="B711" s="89"/>
      <c r="C711" s="89"/>
      <c r="D711" s="89"/>
      <c r="E711" s="89"/>
      <c r="F711" s="89"/>
      <c r="G711" s="89"/>
      <c r="H711" s="89"/>
      <c r="I711" s="89"/>
      <c r="J711" s="89"/>
      <c r="K711" s="89"/>
    </row>
    <row r="712">
      <c r="B712" s="89"/>
      <c r="C712" s="89"/>
      <c r="D712" s="89"/>
      <c r="E712" s="89"/>
      <c r="F712" s="89"/>
      <c r="G712" s="89"/>
      <c r="H712" s="89"/>
      <c r="I712" s="89"/>
      <c r="J712" s="89"/>
      <c r="K712" s="89"/>
    </row>
    <row r="713">
      <c r="B713" s="89"/>
      <c r="C713" s="89"/>
      <c r="D713" s="89"/>
      <c r="E713" s="89"/>
      <c r="F713" s="89"/>
      <c r="G713" s="89"/>
      <c r="H713" s="89"/>
      <c r="I713" s="89"/>
      <c r="J713" s="89"/>
      <c r="K713" s="89"/>
    </row>
    <row r="714">
      <c r="B714" s="89"/>
      <c r="C714" s="89"/>
      <c r="D714" s="89"/>
      <c r="E714" s="89"/>
      <c r="F714" s="89"/>
      <c r="G714" s="89"/>
      <c r="H714" s="89"/>
      <c r="I714" s="89"/>
      <c r="J714" s="89"/>
      <c r="K714" s="89"/>
    </row>
    <row r="715">
      <c r="B715" s="89"/>
      <c r="C715" s="89"/>
      <c r="D715" s="89"/>
      <c r="E715" s="89"/>
      <c r="F715" s="89"/>
      <c r="G715" s="89"/>
      <c r="H715" s="89"/>
      <c r="I715" s="89"/>
      <c r="J715" s="89"/>
      <c r="K715" s="89"/>
    </row>
    <row r="716">
      <c r="B716" s="89"/>
      <c r="C716" s="89"/>
      <c r="D716" s="89"/>
      <c r="E716" s="89"/>
      <c r="F716" s="89"/>
      <c r="G716" s="89"/>
      <c r="H716" s="89"/>
      <c r="I716" s="89"/>
      <c r="J716" s="89"/>
      <c r="K716" s="89"/>
    </row>
    <row r="717">
      <c r="B717" s="89"/>
      <c r="C717" s="89"/>
      <c r="D717" s="89"/>
      <c r="E717" s="89"/>
      <c r="F717" s="89"/>
      <c r="G717" s="89"/>
      <c r="H717" s="89"/>
      <c r="I717" s="89"/>
      <c r="J717" s="89"/>
      <c r="K717" s="89"/>
    </row>
    <row r="718">
      <c r="B718" s="89"/>
      <c r="C718" s="89"/>
      <c r="D718" s="89"/>
      <c r="E718" s="89"/>
      <c r="F718" s="89"/>
      <c r="G718" s="89"/>
      <c r="H718" s="89"/>
      <c r="I718" s="89"/>
      <c r="J718" s="89"/>
      <c r="K718" s="89"/>
    </row>
    <row r="719">
      <c r="B719" s="89"/>
      <c r="C719" s="89"/>
      <c r="D719" s="89"/>
      <c r="E719" s="89"/>
      <c r="F719" s="89"/>
      <c r="G719" s="89"/>
      <c r="H719" s="89"/>
      <c r="I719" s="89"/>
      <c r="J719" s="89"/>
      <c r="K719" s="89"/>
    </row>
    <row r="720">
      <c r="B720" s="89"/>
      <c r="C720" s="89"/>
      <c r="D720" s="89"/>
      <c r="E720" s="89"/>
      <c r="F720" s="89"/>
      <c r="G720" s="89"/>
      <c r="H720" s="89"/>
      <c r="I720" s="89"/>
      <c r="J720" s="89"/>
      <c r="K720" s="89"/>
    </row>
    <row r="721">
      <c r="B721" s="89"/>
      <c r="C721" s="89"/>
      <c r="D721" s="89"/>
      <c r="E721" s="89"/>
      <c r="F721" s="89"/>
      <c r="G721" s="89"/>
      <c r="H721" s="89"/>
      <c r="I721" s="89"/>
      <c r="J721" s="89"/>
      <c r="K721" s="89"/>
    </row>
    <row r="722">
      <c r="B722" s="89"/>
      <c r="C722" s="89"/>
      <c r="D722" s="89"/>
      <c r="E722" s="89"/>
      <c r="F722" s="89"/>
      <c r="G722" s="89"/>
      <c r="H722" s="89"/>
      <c r="I722" s="89"/>
      <c r="J722" s="89"/>
      <c r="K722" s="89"/>
    </row>
    <row r="723">
      <c r="B723" s="89"/>
      <c r="C723" s="89"/>
      <c r="D723" s="89"/>
      <c r="E723" s="89"/>
      <c r="F723" s="89"/>
      <c r="G723" s="89"/>
      <c r="H723" s="89"/>
      <c r="I723" s="89"/>
      <c r="J723" s="89"/>
      <c r="K723" s="89"/>
    </row>
    <row r="724">
      <c r="B724" s="89"/>
      <c r="C724" s="89"/>
      <c r="D724" s="89"/>
      <c r="E724" s="89"/>
      <c r="F724" s="89"/>
      <c r="G724" s="89"/>
      <c r="H724" s="89"/>
      <c r="I724" s="89"/>
      <c r="J724" s="89"/>
      <c r="K724" s="89"/>
    </row>
    <row r="725">
      <c r="B725" s="89"/>
      <c r="C725" s="89"/>
      <c r="D725" s="89"/>
      <c r="E725" s="89"/>
      <c r="F725" s="89"/>
      <c r="G725" s="89"/>
      <c r="H725" s="89"/>
      <c r="I725" s="89"/>
      <c r="J725" s="89"/>
      <c r="K725" s="89"/>
    </row>
    <row r="726">
      <c r="B726" s="89"/>
      <c r="C726" s="89"/>
      <c r="D726" s="89"/>
      <c r="E726" s="89"/>
      <c r="F726" s="89"/>
      <c r="G726" s="89"/>
      <c r="H726" s="89"/>
      <c r="I726" s="89"/>
      <c r="J726" s="89"/>
      <c r="K726" s="89"/>
    </row>
    <row r="727">
      <c r="B727" s="89"/>
      <c r="C727" s="89"/>
      <c r="D727" s="89"/>
      <c r="E727" s="89"/>
      <c r="F727" s="89"/>
      <c r="G727" s="89"/>
      <c r="H727" s="89"/>
      <c r="I727" s="89"/>
      <c r="J727" s="89"/>
      <c r="K727" s="89"/>
    </row>
    <row r="728">
      <c r="B728" s="89"/>
      <c r="C728" s="89"/>
      <c r="D728" s="89"/>
      <c r="E728" s="89"/>
      <c r="F728" s="89"/>
      <c r="G728" s="89"/>
      <c r="H728" s="89"/>
      <c r="I728" s="89"/>
      <c r="J728" s="89"/>
      <c r="K728" s="89"/>
    </row>
    <row r="729">
      <c r="B729" s="89"/>
      <c r="C729" s="89"/>
      <c r="D729" s="89"/>
      <c r="E729" s="89"/>
      <c r="F729" s="89"/>
      <c r="G729" s="89"/>
      <c r="H729" s="89"/>
      <c r="I729" s="89"/>
      <c r="J729" s="89"/>
      <c r="K729" s="89"/>
    </row>
    <row r="730">
      <c r="B730" s="89"/>
      <c r="C730" s="89"/>
      <c r="D730" s="89"/>
      <c r="E730" s="89"/>
      <c r="F730" s="89"/>
      <c r="G730" s="89"/>
      <c r="H730" s="89"/>
      <c r="I730" s="89"/>
      <c r="J730" s="89"/>
      <c r="K730" s="89"/>
    </row>
    <row r="731">
      <c r="B731" s="89"/>
      <c r="C731" s="89"/>
      <c r="D731" s="89"/>
      <c r="E731" s="89"/>
      <c r="F731" s="89"/>
      <c r="G731" s="89"/>
      <c r="H731" s="89"/>
      <c r="I731" s="89"/>
      <c r="J731" s="89"/>
      <c r="K731" s="89"/>
    </row>
    <row r="732">
      <c r="B732" s="89"/>
      <c r="C732" s="89"/>
      <c r="D732" s="89"/>
      <c r="E732" s="89"/>
      <c r="F732" s="89"/>
      <c r="G732" s="89"/>
      <c r="H732" s="89"/>
      <c r="I732" s="89"/>
      <c r="J732" s="89"/>
      <c r="K732" s="89"/>
    </row>
    <row r="733">
      <c r="B733" s="89"/>
      <c r="C733" s="89"/>
      <c r="D733" s="89"/>
      <c r="E733" s="89"/>
      <c r="F733" s="89"/>
      <c r="G733" s="89"/>
      <c r="H733" s="89"/>
      <c r="I733" s="89"/>
      <c r="J733" s="89"/>
      <c r="K733" s="89"/>
    </row>
    <row r="734">
      <c r="B734" s="89"/>
      <c r="C734" s="89"/>
      <c r="D734" s="89"/>
      <c r="E734" s="89"/>
      <c r="F734" s="89"/>
      <c r="G734" s="89"/>
      <c r="H734" s="89"/>
      <c r="I734" s="89"/>
      <c r="J734" s="89"/>
      <c r="K734" s="89"/>
    </row>
    <row r="735">
      <c r="B735" s="89"/>
      <c r="C735" s="89"/>
      <c r="D735" s="89"/>
      <c r="E735" s="89"/>
      <c r="F735" s="89"/>
      <c r="G735" s="89"/>
      <c r="H735" s="89"/>
      <c r="I735" s="89"/>
      <c r="J735" s="89"/>
      <c r="K735" s="89"/>
    </row>
    <row r="736">
      <c r="B736" s="89"/>
      <c r="C736" s="89"/>
      <c r="D736" s="89"/>
      <c r="E736" s="89"/>
      <c r="F736" s="89"/>
      <c r="G736" s="89"/>
      <c r="H736" s="89"/>
      <c r="I736" s="89"/>
      <c r="J736" s="89"/>
      <c r="K736" s="89"/>
    </row>
    <row r="737">
      <c r="B737" s="89"/>
      <c r="C737" s="89"/>
      <c r="D737" s="89"/>
      <c r="E737" s="89"/>
      <c r="F737" s="89"/>
      <c r="G737" s="89"/>
      <c r="H737" s="89"/>
      <c r="I737" s="89"/>
      <c r="J737" s="89"/>
      <c r="K737" s="89"/>
    </row>
    <row r="738">
      <c r="B738" s="89"/>
      <c r="C738" s="89"/>
      <c r="D738" s="89"/>
      <c r="E738" s="89"/>
      <c r="F738" s="89"/>
      <c r="G738" s="89"/>
      <c r="H738" s="89"/>
      <c r="I738" s="89"/>
      <c r="J738" s="89"/>
      <c r="K738" s="89"/>
    </row>
    <row r="739">
      <c r="B739" s="89"/>
      <c r="C739" s="89"/>
      <c r="D739" s="89"/>
      <c r="E739" s="89"/>
      <c r="F739" s="89"/>
      <c r="G739" s="89"/>
      <c r="H739" s="89"/>
      <c r="I739" s="89"/>
      <c r="J739" s="89"/>
      <c r="K739" s="89"/>
    </row>
    <row r="740">
      <c r="B740" s="89"/>
      <c r="C740" s="89"/>
      <c r="D740" s="89"/>
      <c r="E740" s="89"/>
      <c r="F740" s="89"/>
      <c r="G740" s="89"/>
      <c r="H740" s="89"/>
      <c r="I740" s="89"/>
      <c r="J740" s="89"/>
      <c r="K740" s="89"/>
    </row>
    <row r="741">
      <c r="B741" s="89"/>
      <c r="C741" s="89"/>
      <c r="D741" s="89"/>
      <c r="E741" s="89"/>
      <c r="F741" s="89"/>
      <c r="G741" s="89"/>
      <c r="H741" s="89"/>
      <c r="I741" s="89"/>
      <c r="J741" s="89"/>
      <c r="K741" s="89"/>
    </row>
    <row r="742">
      <c r="B742" s="89"/>
      <c r="C742" s="89"/>
      <c r="D742" s="89"/>
      <c r="E742" s="89"/>
      <c r="F742" s="89"/>
      <c r="G742" s="89"/>
      <c r="H742" s="89"/>
      <c r="I742" s="89"/>
      <c r="J742" s="89"/>
      <c r="K742" s="89"/>
    </row>
    <row r="743">
      <c r="B743" s="89"/>
      <c r="C743" s="89"/>
      <c r="D743" s="89"/>
      <c r="E743" s="89"/>
      <c r="F743" s="89"/>
      <c r="G743" s="89"/>
      <c r="H743" s="89"/>
      <c r="I743" s="89"/>
      <c r="J743" s="89"/>
      <c r="K743" s="89"/>
    </row>
    <row r="744">
      <c r="B744" s="89"/>
      <c r="C744" s="89"/>
      <c r="D744" s="89"/>
      <c r="E744" s="89"/>
      <c r="F744" s="89"/>
      <c r="G744" s="89"/>
      <c r="H744" s="89"/>
      <c r="I744" s="89"/>
      <c r="J744" s="89"/>
      <c r="K744" s="89"/>
    </row>
    <row r="745">
      <c r="B745" s="89"/>
      <c r="C745" s="89"/>
      <c r="D745" s="89"/>
      <c r="E745" s="89"/>
      <c r="F745" s="89"/>
      <c r="G745" s="89"/>
      <c r="H745" s="89"/>
      <c r="I745" s="89"/>
      <c r="J745" s="89"/>
      <c r="K745" s="89"/>
    </row>
    <row r="746">
      <c r="B746" s="89"/>
      <c r="C746" s="89"/>
      <c r="D746" s="89"/>
      <c r="E746" s="89"/>
      <c r="F746" s="89"/>
      <c r="G746" s="89"/>
      <c r="H746" s="89"/>
      <c r="I746" s="89"/>
      <c r="J746" s="89"/>
      <c r="K746" s="89"/>
    </row>
    <row r="747">
      <c r="B747" s="89"/>
      <c r="C747" s="89"/>
      <c r="D747" s="89"/>
      <c r="E747" s="89"/>
      <c r="F747" s="89"/>
      <c r="G747" s="89"/>
      <c r="H747" s="89"/>
      <c r="I747" s="89"/>
      <c r="J747" s="89"/>
      <c r="K747" s="89"/>
    </row>
    <row r="748">
      <c r="B748" s="89"/>
      <c r="C748" s="89"/>
      <c r="D748" s="89"/>
      <c r="E748" s="89"/>
      <c r="F748" s="89"/>
      <c r="G748" s="89"/>
      <c r="H748" s="89"/>
      <c r="I748" s="89"/>
      <c r="J748" s="89"/>
      <c r="K748" s="89"/>
    </row>
    <row r="749">
      <c r="B749" s="89"/>
      <c r="C749" s="89"/>
      <c r="D749" s="89"/>
      <c r="E749" s="89"/>
      <c r="F749" s="89"/>
      <c r="G749" s="89"/>
      <c r="H749" s="89"/>
      <c r="I749" s="89"/>
      <c r="J749" s="89"/>
      <c r="K749" s="89"/>
    </row>
    <row r="750">
      <c r="B750" s="89"/>
      <c r="C750" s="89"/>
      <c r="D750" s="89"/>
      <c r="E750" s="89"/>
      <c r="F750" s="89"/>
      <c r="G750" s="89"/>
      <c r="H750" s="89"/>
      <c r="I750" s="89"/>
      <c r="J750" s="89"/>
      <c r="K750" s="89"/>
    </row>
    <row r="751">
      <c r="B751" s="89"/>
      <c r="C751" s="89"/>
      <c r="D751" s="89"/>
      <c r="E751" s="89"/>
      <c r="F751" s="89"/>
      <c r="G751" s="89"/>
      <c r="H751" s="89"/>
      <c r="I751" s="89"/>
      <c r="J751" s="89"/>
      <c r="K751" s="89"/>
    </row>
    <row r="752">
      <c r="B752" s="89"/>
      <c r="C752" s="89"/>
      <c r="D752" s="89"/>
      <c r="E752" s="89"/>
      <c r="F752" s="89"/>
      <c r="G752" s="89"/>
      <c r="H752" s="89"/>
      <c r="I752" s="89"/>
      <c r="J752" s="89"/>
      <c r="K752" s="89"/>
    </row>
    <row r="753">
      <c r="B753" s="89"/>
      <c r="C753" s="89"/>
      <c r="D753" s="89"/>
      <c r="E753" s="89"/>
      <c r="F753" s="89"/>
      <c r="G753" s="89"/>
      <c r="H753" s="89"/>
      <c r="I753" s="89"/>
      <c r="J753" s="89"/>
      <c r="K753" s="89"/>
    </row>
    <row r="754">
      <c r="B754" s="89"/>
      <c r="C754" s="89"/>
      <c r="D754" s="89"/>
      <c r="E754" s="89"/>
      <c r="F754" s="89"/>
      <c r="G754" s="89"/>
      <c r="H754" s="89"/>
      <c r="I754" s="89"/>
      <c r="J754" s="89"/>
      <c r="K754" s="89"/>
    </row>
    <row r="755">
      <c r="B755" s="89"/>
      <c r="C755" s="89"/>
      <c r="D755" s="89"/>
      <c r="E755" s="89"/>
      <c r="F755" s="89"/>
      <c r="G755" s="89"/>
      <c r="H755" s="89"/>
      <c r="I755" s="89"/>
      <c r="J755" s="89"/>
      <c r="K755" s="89"/>
    </row>
    <row r="756">
      <c r="B756" s="89"/>
      <c r="C756" s="89"/>
      <c r="D756" s="89"/>
      <c r="E756" s="89"/>
      <c r="F756" s="89"/>
      <c r="G756" s="89"/>
      <c r="H756" s="89"/>
      <c r="I756" s="89"/>
      <c r="J756" s="89"/>
      <c r="K756" s="89"/>
    </row>
    <row r="757">
      <c r="B757" s="89"/>
      <c r="C757" s="89"/>
      <c r="D757" s="89"/>
      <c r="E757" s="89"/>
      <c r="F757" s="89"/>
      <c r="G757" s="89"/>
      <c r="H757" s="89"/>
      <c r="I757" s="89"/>
      <c r="J757" s="89"/>
      <c r="K757" s="89"/>
    </row>
    <row r="758">
      <c r="B758" s="89"/>
      <c r="C758" s="89"/>
      <c r="D758" s="89"/>
      <c r="E758" s="89"/>
      <c r="F758" s="89"/>
      <c r="G758" s="89"/>
      <c r="H758" s="89"/>
      <c r="I758" s="89"/>
      <c r="J758" s="89"/>
      <c r="K758" s="89"/>
    </row>
    <row r="759">
      <c r="B759" s="89"/>
      <c r="C759" s="89"/>
      <c r="D759" s="89"/>
      <c r="E759" s="89"/>
      <c r="F759" s="89"/>
      <c r="G759" s="89"/>
      <c r="H759" s="89"/>
      <c r="I759" s="89"/>
      <c r="J759" s="89"/>
      <c r="K759" s="89"/>
    </row>
    <row r="760">
      <c r="B760" s="89"/>
      <c r="C760" s="89"/>
      <c r="D760" s="89"/>
      <c r="E760" s="89"/>
      <c r="F760" s="89"/>
      <c r="G760" s="89"/>
      <c r="H760" s="89"/>
      <c r="I760" s="89"/>
      <c r="J760" s="89"/>
      <c r="K760" s="89"/>
    </row>
    <row r="761">
      <c r="B761" s="89"/>
      <c r="C761" s="89"/>
      <c r="D761" s="89"/>
      <c r="E761" s="89"/>
      <c r="F761" s="89"/>
      <c r="G761" s="89"/>
      <c r="H761" s="89"/>
      <c r="I761" s="89"/>
      <c r="J761" s="89"/>
      <c r="K761" s="89"/>
    </row>
    <row r="762">
      <c r="B762" s="89"/>
      <c r="C762" s="89"/>
      <c r="D762" s="89"/>
      <c r="E762" s="89"/>
      <c r="F762" s="89"/>
      <c r="G762" s="89"/>
      <c r="H762" s="89"/>
      <c r="I762" s="89"/>
      <c r="J762" s="89"/>
      <c r="K762" s="89"/>
    </row>
    <row r="763">
      <c r="B763" s="89"/>
      <c r="C763" s="89"/>
      <c r="D763" s="89"/>
      <c r="E763" s="89"/>
      <c r="F763" s="89"/>
      <c r="G763" s="89"/>
      <c r="H763" s="89"/>
      <c r="I763" s="89"/>
      <c r="J763" s="89"/>
      <c r="K763" s="89"/>
    </row>
    <row r="764">
      <c r="B764" s="89"/>
      <c r="C764" s="89"/>
      <c r="D764" s="89"/>
      <c r="E764" s="89"/>
      <c r="F764" s="89"/>
      <c r="G764" s="89"/>
      <c r="H764" s="89"/>
      <c r="I764" s="89"/>
      <c r="J764" s="89"/>
      <c r="K764" s="89"/>
    </row>
    <row r="765">
      <c r="B765" s="89"/>
      <c r="C765" s="89"/>
      <c r="D765" s="89"/>
      <c r="E765" s="89"/>
      <c r="F765" s="89"/>
      <c r="G765" s="89"/>
      <c r="H765" s="89"/>
      <c r="I765" s="89"/>
      <c r="J765" s="89"/>
      <c r="K765" s="89"/>
    </row>
    <row r="766">
      <c r="B766" s="89"/>
      <c r="C766" s="89"/>
      <c r="D766" s="89"/>
      <c r="E766" s="89"/>
      <c r="F766" s="89"/>
      <c r="G766" s="89"/>
      <c r="H766" s="89"/>
      <c r="I766" s="89"/>
      <c r="J766" s="89"/>
      <c r="K766" s="89"/>
    </row>
    <row r="767">
      <c r="B767" s="89"/>
      <c r="C767" s="89"/>
      <c r="D767" s="89"/>
      <c r="E767" s="89"/>
      <c r="F767" s="89"/>
      <c r="G767" s="89"/>
      <c r="H767" s="89"/>
      <c r="I767" s="89"/>
      <c r="J767" s="89"/>
      <c r="K767" s="89"/>
    </row>
    <row r="768">
      <c r="B768" s="89"/>
      <c r="C768" s="89"/>
      <c r="D768" s="89"/>
      <c r="E768" s="89"/>
      <c r="F768" s="89"/>
      <c r="G768" s="89"/>
      <c r="H768" s="89"/>
      <c r="I768" s="89"/>
      <c r="J768" s="89"/>
      <c r="K768" s="89"/>
    </row>
    <row r="769">
      <c r="B769" s="89"/>
      <c r="C769" s="89"/>
      <c r="D769" s="89"/>
      <c r="E769" s="89"/>
      <c r="F769" s="89"/>
      <c r="G769" s="89"/>
      <c r="H769" s="89"/>
      <c r="I769" s="89"/>
      <c r="J769" s="89"/>
      <c r="K769" s="89"/>
    </row>
    <row r="770">
      <c r="B770" s="89"/>
      <c r="C770" s="89"/>
      <c r="D770" s="89"/>
      <c r="E770" s="89"/>
      <c r="F770" s="89"/>
      <c r="G770" s="89"/>
      <c r="H770" s="89"/>
      <c r="I770" s="89"/>
      <c r="J770" s="89"/>
      <c r="K770" s="89"/>
    </row>
    <row r="771">
      <c r="B771" s="89"/>
      <c r="C771" s="89"/>
      <c r="D771" s="89"/>
      <c r="E771" s="89"/>
      <c r="F771" s="89"/>
      <c r="G771" s="89"/>
      <c r="H771" s="89"/>
      <c r="I771" s="89"/>
      <c r="J771" s="89"/>
      <c r="K771" s="89"/>
    </row>
    <row r="772">
      <c r="B772" s="89"/>
      <c r="C772" s="89"/>
      <c r="D772" s="89"/>
      <c r="E772" s="89"/>
      <c r="F772" s="89"/>
      <c r="G772" s="89"/>
      <c r="H772" s="89"/>
      <c r="I772" s="89"/>
      <c r="J772" s="89"/>
      <c r="K772" s="89"/>
    </row>
    <row r="773">
      <c r="B773" s="89"/>
      <c r="C773" s="89"/>
      <c r="D773" s="89"/>
      <c r="E773" s="89"/>
      <c r="F773" s="89"/>
      <c r="G773" s="89"/>
      <c r="H773" s="89"/>
      <c r="I773" s="89"/>
      <c r="J773" s="89"/>
      <c r="K773" s="89"/>
    </row>
    <row r="774">
      <c r="B774" s="89"/>
      <c r="C774" s="89"/>
      <c r="D774" s="89"/>
      <c r="E774" s="89"/>
      <c r="F774" s="89"/>
      <c r="G774" s="89"/>
      <c r="H774" s="89"/>
      <c r="I774" s="89"/>
      <c r="J774" s="89"/>
      <c r="K774" s="89"/>
    </row>
    <row r="775">
      <c r="B775" s="89"/>
      <c r="C775" s="89"/>
      <c r="D775" s="89"/>
      <c r="E775" s="89"/>
      <c r="F775" s="89"/>
      <c r="G775" s="89"/>
      <c r="H775" s="89"/>
      <c r="I775" s="89"/>
      <c r="J775" s="89"/>
      <c r="K775" s="89"/>
    </row>
    <row r="776">
      <c r="B776" s="89"/>
      <c r="C776" s="89"/>
      <c r="D776" s="89"/>
      <c r="E776" s="89"/>
      <c r="F776" s="89"/>
      <c r="G776" s="89"/>
      <c r="H776" s="89"/>
      <c r="I776" s="89"/>
      <c r="J776" s="89"/>
      <c r="K776" s="89"/>
    </row>
    <row r="777">
      <c r="B777" s="89"/>
      <c r="C777" s="89"/>
      <c r="D777" s="89"/>
      <c r="E777" s="89"/>
      <c r="F777" s="89"/>
      <c r="G777" s="89"/>
      <c r="H777" s="89"/>
      <c r="I777" s="89"/>
      <c r="J777" s="89"/>
      <c r="K777" s="89"/>
    </row>
    <row r="778">
      <c r="B778" s="89"/>
      <c r="C778" s="89"/>
      <c r="D778" s="89"/>
      <c r="E778" s="89"/>
      <c r="F778" s="89"/>
      <c r="G778" s="89"/>
      <c r="H778" s="89"/>
      <c r="I778" s="89"/>
      <c r="J778" s="89"/>
      <c r="K778" s="89"/>
    </row>
    <row r="779">
      <c r="B779" s="89"/>
      <c r="C779" s="89"/>
      <c r="D779" s="89"/>
      <c r="E779" s="89"/>
      <c r="F779" s="89"/>
      <c r="G779" s="89"/>
      <c r="H779" s="89"/>
      <c r="I779" s="89"/>
      <c r="J779" s="89"/>
      <c r="K779" s="89"/>
    </row>
    <row r="780">
      <c r="B780" s="89"/>
      <c r="C780" s="89"/>
      <c r="D780" s="89"/>
      <c r="E780" s="89"/>
      <c r="F780" s="89"/>
      <c r="G780" s="89"/>
      <c r="H780" s="89"/>
      <c r="I780" s="89"/>
      <c r="J780" s="89"/>
      <c r="K780" s="89"/>
    </row>
    <row r="781">
      <c r="B781" s="89"/>
      <c r="C781" s="89"/>
      <c r="D781" s="89"/>
      <c r="E781" s="89"/>
      <c r="F781" s="89"/>
      <c r="G781" s="89"/>
      <c r="H781" s="89"/>
      <c r="I781" s="89"/>
      <c r="J781" s="89"/>
      <c r="K781" s="89"/>
    </row>
    <row r="782">
      <c r="B782" s="89"/>
      <c r="C782" s="89"/>
      <c r="D782" s="89"/>
      <c r="E782" s="89"/>
      <c r="F782" s="89"/>
      <c r="G782" s="89"/>
      <c r="H782" s="89"/>
      <c r="I782" s="89"/>
      <c r="J782" s="89"/>
      <c r="K782" s="89"/>
    </row>
    <row r="783">
      <c r="B783" s="89"/>
      <c r="C783" s="89"/>
      <c r="D783" s="89"/>
      <c r="E783" s="89"/>
      <c r="F783" s="89"/>
      <c r="G783" s="89"/>
      <c r="H783" s="89"/>
      <c r="I783" s="89"/>
      <c r="J783" s="89"/>
      <c r="K783" s="89"/>
    </row>
    <row r="784">
      <c r="B784" s="89"/>
      <c r="C784" s="89"/>
      <c r="D784" s="89"/>
      <c r="E784" s="89"/>
      <c r="F784" s="89"/>
      <c r="G784" s="89"/>
      <c r="H784" s="89"/>
      <c r="I784" s="89"/>
      <c r="J784" s="89"/>
      <c r="K784" s="89"/>
    </row>
    <row r="785">
      <c r="B785" s="89"/>
      <c r="C785" s="89"/>
      <c r="D785" s="89"/>
      <c r="E785" s="89"/>
      <c r="F785" s="89"/>
      <c r="G785" s="89"/>
      <c r="H785" s="89"/>
      <c r="I785" s="89"/>
      <c r="J785" s="89"/>
      <c r="K785" s="89"/>
    </row>
    <row r="786">
      <c r="B786" s="89"/>
      <c r="C786" s="89"/>
      <c r="D786" s="89"/>
      <c r="E786" s="89"/>
      <c r="F786" s="89"/>
      <c r="G786" s="89"/>
      <c r="H786" s="89"/>
      <c r="I786" s="89"/>
      <c r="J786" s="89"/>
      <c r="K786" s="89"/>
    </row>
    <row r="787">
      <c r="B787" s="89"/>
      <c r="C787" s="89"/>
      <c r="D787" s="89"/>
      <c r="E787" s="89"/>
      <c r="F787" s="89"/>
      <c r="G787" s="89"/>
      <c r="H787" s="89"/>
      <c r="I787" s="89"/>
      <c r="J787" s="89"/>
      <c r="K787" s="89"/>
    </row>
    <row r="788">
      <c r="B788" s="89"/>
      <c r="C788" s="89"/>
      <c r="D788" s="89"/>
      <c r="E788" s="89"/>
      <c r="F788" s="89"/>
      <c r="G788" s="89"/>
      <c r="H788" s="89"/>
      <c r="I788" s="89"/>
      <c r="J788" s="89"/>
      <c r="K788" s="89"/>
    </row>
    <row r="789">
      <c r="B789" s="89"/>
      <c r="C789" s="89"/>
      <c r="D789" s="89"/>
      <c r="E789" s="89"/>
      <c r="F789" s="89"/>
      <c r="G789" s="89"/>
      <c r="H789" s="89"/>
      <c r="I789" s="89"/>
      <c r="J789" s="89"/>
      <c r="K789" s="89"/>
    </row>
    <row r="790">
      <c r="B790" s="89"/>
      <c r="C790" s="89"/>
      <c r="D790" s="89"/>
      <c r="E790" s="89"/>
      <c r="F790" s="89"/>
      <c r="G790" s="89"/>
      <c r="H790" s="89"/>
      <c r="I790" s="89"/>
      <c r="J790" s="89"/>
      <c r="K790" s="89"/>
    </row>
    <row r="791">
      <c r="B791" s="89"/>
      <c r="C791" s="89"/>
      <c r="D791" s="89"/>
      <c r="E791" s="89"/>
      <c r="F791" s="89"/>
      <c r="G791" s="89"/>
      <c r="H791" s="89"/>
      <c r="I791" s="89"/>
      <c r="J791" s="89"/>
      <c r="K791" s="89"/>
    </row>
    <row r="792">
      <c r="B792" s="89"/>
      <c r="C792" s="89"/>
      <c r="D792" s="89"/>
      <c r="E792" s="89"/>
      <c r="F792" s="89"/>
      <c r="G792" s="89"/>
      <c r="H792" s="89"/>
      <c r="I792" s="89"/>
      <c r="J792" s="89"/>
      <c r="K792" s="89"/>
    </row>
    <row r="793">
      <c r="B793" s="89"/>
      <c r="C793" s="89"/>
      <c r="D793" s="89"/>
      <c r="E793" s="89"/>
      <c r="F793" s="89"/>
      <c r="G793" s="89"/>
      <c r="H793" s="89"/>
      <c r="I793" s="89"/>
      <c r="J793" s="89"/>
      <c r="K793" s="89"/>
    </row>
    <row r="794">
      <c r="B794" s="89"/>
      <c r="C794" s="89"/>
      <c r="D794" s="89"/>
      <c r="E794" s="89"/>
      <c r="F794" s="89"/>
      <c r="G794" s="89"/>
      <c r="H794" s="89"/>
      <c r="I794" s="89"/>
      <c r="J794" s="89"/>
      <c r="K794" s="89"/>
    </row>
    <row r="795">
      <c r="B795" s="89"/>
      <c r="C795" s="89"/>
      <c r="D795" s="89"/>
      <c r="E795" s="89"/>
      <c r="F795" s="89"/>
      <c r="G795" s="89"/>
      <c r="H795" s="89"/>
      <c r="I795" s="89"/>
      <c r="J795" s="89"/>
      <c r="K795" s="89"/>
    </row>
    <row r="796">
      <c r="B796" s="89"/>
      <c r="C796" s="89"/>
      <c r="D796" s="89"/>
      <c r="E796" s="89"/>
      <c r="F796" s="89"/>
      <c r="G796" s="89"/>
      <c r="H796" s="89"/>
      <c r="I796" s="89"/>
      <c r="J796" s="89"/>
      <c r="K796" s="89"/>
    </row>
    <row r="797">
      <c r="B797" s="89"/>
      <c r="C797" s="89"/>
      <c r="D797" s="89"/>
      <c r="E797" s="89"/>
      <c r="F797" s="89"/>
      <c r="G797" s="89"/>
      <c r="H797" s="89"/>
      <c r="I797" s="89"/>
      <c r="J797" s="89"/>
      <c r="K797" s="89"/>
    </row>
    <row r="798">
      <c r="B798" s="89"/>
      <c r="C798" s="89"/>
      <c r="D798" s="89"/>
      <c r="E798" s="89"/>
      <c r="F798" s="89"/>
      <c r="G798" s="89"/>
      <c r="H798" s="89"/>
      <c r="I798" s="89"/>
      <c r="J798" s="89"/>
      <c r="K798" s="89"/>
    </row>
    <row r="799">
      <c r="B799" s="89"/>
      <c r="C799" s="89"/>
      <c r="D799" s="89"/>
      <c r="E799" s="89"/>
      <c r="F799" s="89"/>
      <c r="G799" s="89"/>
      <c r="H799" s="89"/>
      <c r="I799" s="89"/>
      <c r="J799" s="89"/>
      <c r="K799" s="89"/>
    </row>
    <row r="800">
      <c r="B800" s="89"/>
      <c r="C800" s="89"/>
      <c r="D800" s="89"/>
      <c r="E800" s="89"/>
      <c r="F800" s="89"/>
      <c r="G800" s="89"/>
      <c r="H800" s="89"/>
      <c r="I800" s="89"/>
      <c r="J800" s="89"/>
      <c r="K800" s="89"/>
    </row>
    <row r="801">
      <c r="B801" s="89"/>
      <c r="C801" s="89"/>
      <c r="D801" s="89"/>
      <c r="E801" s="89"/>
      <c r="F801" s="89"/>
      <c r="G801" s="89"/>
      <c r="H801" s="89"/>
      <c r="I801" s="89"/>
      <c r="J801" s="89"/>
      <c r="K801" s="89"/>
    </row>
    <row r="802">
      <c r="B802" s="89"/>
      <c r="C802" s="89"/>
      <c r="D802" s="89"/>
      <c r="E802" s="89"/>
      <c r="F802" s="89"/>
      <c r="G802" s="89"/>
      <c r="H802" s="89"/>
      <c r="I802" s="89"/>
      <c r="J802" s="89"/>
      <c r="K802" s="89"/>
    </row>
    <row r="803">
      <c r="B803" s="89"/>
      <c r="C803" s="89"/>
      <c r="D803" s="89"/>
      <c r="E803" s="89"/>
      <c r="F803" s="89"/>
      <c r="G803" s="89"/>
      <c r="H803" s="89"/>
      <c r="I803" s="89"/>
      <c r="J803" s="89"/>
      <c r="K803" s="89"/>
    </row>
    <row r="804">
      <c r="B804" s="89"/>
      <c r="C804" s="89"/>
      <c r="D804" s="89"/>
      <c r="E804" s="89"/>
      <c r="F804" s="89"/>
      <c r="G804" s="89"/>
      <c r="H804" s="89"/>
      <c r="I804" s="89"/>
      <c r="J804" s="89"/>
      <c r="K804" s="89"/>
    </row>
    <row r="805">
      <c r="B805" s="89"/>
      <c r="C805" s="89"/>
      <c r="D805" s="89"/>
      <c r="E805" s="89"/>
      <c r="F805" s="89"/>
      <c r="G805" s="89"/>
      <c r="H805" s="89"/>
      <c r="I805" s="89"/>
      <c r="J805" s="89"/>
      <c r="K805" s="89"/>
    </row>
    <row r="806">
      <c r="B806" s="89"/>
      <c r="C806" s="89"/>
      <c r="D806" s="89"/>
      <c r="E806" s="89"/>
      <c r="F806" s="89"/>
      <c r="G806" s="89"/>
      <c r="H806" s="89"/>
      <c r="I806" s="89"/>
      <c r="J806" s="89"/>
      <c r="K806" s="89"/>
    </row>
    <row r="807">
      <c r="B807" s="89"/>
      <c r="C807" s="89"/>
      <c r="D807" s="89"/>
      <c r="E807" s="89"/>
      <c r="F807" s="89"/>
      <c r="G807" s="89"/>
      <c r="H807" s="89"/>
      <c r="I807" s="89"/>
      <c r="J807" s="89"/>
      <c r="K807" s="89"/>
    </row>
    <row r="808">
      <c r="B808" s="89"/>
      <c r="C808" s="89"/>
      <c r="D808" s="89"/>
      <c r="E808" s="89"/>
      <c r="F808" s="89"/>
      <c r="G808" s="89"/>
      <c r="H808" s="89"/>
      <c r="I808" s="89"/>
      <c r="J808" s="89"/>
      <c r="K808" s="89"/>
    </row>
    <row r="809">
      <c r="B809" s="89"/>
      <c r="C809" s="89"/>
      <c r="D809" s="89"/>
      <c r="E809" s="89"/>
      <c r="F809" s="89"/>
      <c r="G809" s="89"/>
      <c r="H809" s="89"/>
      <c r="I809" s="89"/>
      <c r="J809" s="89"/>
      <c r="K809" s="89"/>
    </row>
    <row r="810">
      <c r="B810" s="89"/>
      <c r="C810" s="89"/>
      <c r="D810" s="89"/>
      <c r="E810" s="89"/>
      <c r="F810" s="89"/>
      <c r="G810" s="89"/>
      <c r="H810" s="89"/>
      <c r="I810" s="89"/>
      <c r="J810" s="89"/>
      <c r="K810" s="89"/>
    </row>
    <row r="811">
      <c r="B811" s="89"/>
      <c r="C811" s="89"/>
      <c r="D811" s="89"/>
      <c r="E811" s="89"/>
      <c r="F811" s="89"/>
      <c r="G811" s="89"/>
      <c r="H811" s="89"/>
      <c r="I811" s="89"/>
      <c r="J811" s="89"/>
      <c r="K811" s="89"/>
    </row>
    <row r="812">
      <c r="B812" s="89"/>
      <c r="C812" s="89"/>
      <c r="D812" s="89"/>
      <c r="E812" s="89"/>
      <c r="F812" s="89"/>
      <c r="G812" s="89"/>
      <c r="H812" s="89"/>
      <c r="I812" s="89"/>
      <c r="J812" s="89"/>
      <c r="K812" s="89"/>
    </row>
    <row r="813">
      <c r="B813" s="89"/>
      <c r="C813" s="89"/>
      <c r="D813" s="89"/>
      <c r="E813" s="89"/>
      <c r="F813" s="89"/>
      <c r="G813" s="89"/>
      <c r="H813" s="89"/>
      <c r="I813" s="89"/>
      <c r="J813" s="89"/>
      <c r="K813" s="89"/>
    </row>
    <row r="814">
      <c r="B814" s="89"/>
      <c r="C814" s="89"/>
      <c r="D814" s="89"/>
      <c r="E814" s="89"/>
      <c r="F814" s="89"/>
      <c r="G814" s="89"/>
      <c r="H814" s="89"/>
      <c r="I814" s="89"/>
      <c r="J814" s="89"/>
      <c r="K814" s="89"/>
    </row>
    <row r="815">
      <c r="B815" s="89"/>
      <c r="C815" s="89"/>
      <c r="D815" s="89"/>
      <c r="E815" s="89"/>
      <c r="F815" s="89"/>
      <c r="G815" s="89"/>
      <c r="H815" s="89"/>
      <c r="I815" s="89"/>
      <c r="J815" s="89"/>
      <c r="K815" s="89"/>
    </row>
    <row r="816">
      <c r="B816" s="89"/>
      <c r="C816" s="89"/>
      <c r="D816" s="89"/>
      <c r="E816" s="89"/>
      <c r="F816" s="89"/>
      <c r="G816" s="89"/>
      <c r="H816" s="89"/>
      <c r="I816" s="89"/>
      <c r="J816" s="89"/>
      <c r="K816" s="89"/>
    </row>
    <row r="817">
      <c r="B817" s="89"/>
      <c r="C817" s="89"/>
      <c r="D817" s="89"/>
      <c r="E817" s="89"/>
      <c r="F817" s="89"/>
      <c r="G817" s="89"/>
      <c r="H817" s="89"/>
      <c r="I817" s="89"/>
      <c r="J817" s="89"/>
      <c r="K817" s="89"/>
    </row>
    <row r="818">
      <c r="B818" s="89"/>
      <c r="C818" s="89"/>
      <c r="D818" s="89"/>
      <c r="E818" s="89"/>
      <c r="F818" s="89"/>
      <c r="G818" s="89"/>
      <c r="H818" s="89"/>
      <c r="I818" s="89"/>
      <c r="J818" s="89"/>
      <c r="K818" s="89"/>
    </row>
    <row r="819">
      <c r="B819" s="89"/>
      <c r="C819" s="89"/>
      <c r="D819" s="89"/>
      <c r="E819" s="89"/>
      <c r="F819" s="89"/>
      <c r="G819" s="89"/>
      <c r="H819" s="89"/>
      <c r="I819" s="89"/>
      <c r="J819" s="89"/>
      <c r="K819" s="89"/>
    </row>
    <row r="820">
      <c r="B820" s="89"/>
      <c r="C820" s="89"/>
      <c r="D820" s="89"/>
      <c r="E820" s="89"/>
      <c r="F820" s="89"/>
      <c r="G820" s="89"/>
      <c r="H820" s="89"/>
      <c r="I820" s="89"/>
      <c r="J820" s="89"/>
      <c r="K820" s="89"/>
    </row>
    <row r="821">
      <c r="B821" s="89"/>
      <c r="C821" s="89"/>
      <c r="D821" s="89"/>
      <c r="E821" s="89"/>
      <c r="F821" s="89"/>
      <c r="G821" s="89"/>
      <c r="H821" s="89"/>
      <c r="I821" s="89"/>
      <c r="J821" s="89"/>
      <c r="K821" s="89"/>
    </row>
    <row r="822">
      <c r="B822" s="89"/>
      <c r="C822" s="89"/>
      <c r="D822" s="89"/>
      <c r="E822" s="89"/>
      <c r="F822" s="89"/>
      <c r="G822" s="89"/>
      <c r="H822" s="89"/>
      <c r="I822" s="89"/>
      <c r="J822" s="89"/>
      <c r="K822" s="89"/>
    </row>
    <row r="823">
      <c r="B823" s="89"/>
      <c r="C823" s="89"/>
      <c r="D823" s="89"/>
      <c r="E823" s="89"/>
      <c r="F823" s="89"/>
      <c r="G823" s="89"/>
      <c r="H823" s="89"/>
      <c r="I823" s="89"/>
      <c r="J823" s="89"/>
      <c r="K823" s="89"/>
    </row>
    <row r="824">
      <c r="B824" s="89"/>
      <c r="C824" s="89"/>
      <c r="D824" s="89"/>
      <c r="E824" s="89"/>
      <c r="F824" s="89"/>
      <c r="G824" s="89"/>
      <c r="H824" s="89"/>
      <c r="I824" s="89"/>
      <c r="J824" s="89"/>
      <c r="K824" s="89"/>
    </row>
    <row r="825">
      <c r="B825" s="89"/>
      <c r="C825" s="89"/>
      <c r="D825" s="89"/>
      <c r="E825" s="89"/>
      <c r="F825" s="89"/>
      <c r="G825" s="89"/>
      <c r="H825" s="89"/>
      <c r="I825" s="89"/>
      <c r="J825" s="89"/>
      <c r="K825" s="89"/>
    </row>
    <row r="826">
      <c r="B826" s="89"/>
      <c r="C826" s="89"/>
      <c r="D826" s="89"/>
      <c r="E826" s="89"/>
      <c r="F826" s="89"/>
      <c r="G826" s="89"/>
      <c r="H826" s="89"/>
      <c r="I826" s="89"/>
      <c r="J826" s="89"/>
      <c r="K826" s="89"/>
    </row>
    <row r="827">
      <c r="B827" s="89"/>
      <c r="C827" s="89"/>
      <c r="D827" s="89"/>
      <c r="E827" s="89"/>
      <c r="F827" s="89"/>
      <c r="G827" s="89"/>
      <c r="H827" s="89"/>
      <c r="I827" s="89"/>
      <c r="J827" s="89"/>
      <c r="K827" s="89"/>
    </row>
    <row r="828">
      <c r="B828" s="89"/>
      <c r="C828" s="89"/>
      <c r="D828" s="89"/>
      <c r="E828" s="89"/>
      <c r="F828" s="89"/>
      <c r="G828" s="89"/>
      <c r="H828" s="89"/>
      <c r="I828" s="89"/>
      <c r="J828" s="89"/>
      <c r="K828" s="89"/>
    </row>
    <row r="829">
      <c r="B829" s="89"/>
      <c r="C829" s="89"/>
      <c r="D829" s="89"/>
      <c r="E829" s="89"/>
      <c r="F829" s="89"/>
      <c r="G829" s="89"/>
      <c r="H829" s="89"/>
      <c r="I829" s="89"/>
      <c r="J829" s="89"/>
      <c r="K829" s="89"/>
    </row>
    <row r="830">
      <c r="B830" s="89"/>
      <c r="C830" s="89"/>
      <c r="D830" s="89"/>
      <c r="E830" s="89"/>
      <c r="F830" s="89"/>
      <c r="G830" s="89"/>
      <c r="H830" s="89"/>
      <c r="I830" s="89"/>
      <c r="J830" s="89"/>
      <c r="K830" s="89"/>
    </row>
    <row r="831">
      <c r="B831" s="89"/>
      <c r="C831" s="89"/>
      <c r="D831" s="89"/>
      <c r="E831" s="89"/>
      <c r="F831" s="89"/>
      <c r="G831" s="89"/>
      <c r="H831" s="89"/>
      <c r="I831" s="89"/>
      <c r="J831" s="89"/>
      <c r="K831" s="89"/>
    </row>
    <row r="832">
      <c r="B832" s="89"/>
      <c r="C832" s="89"/>
      <c r="D832" s="89"/>
      <c r="E832" s="89"/>
      <c r="F832" s="89"/>
      <c r="G832" s="89"/>
      <c r="H832" s="89"/>
      <c r="I832" s="89"/>
      <c r="J832" s="89"/>
      <c r="K832" s="89"/>
    </row>
    <row r="833">
      <c r="B833" s="89"/>
      <c r="C833" s="89"/>
      <c r="D833" s="89"/>
      <c r="E833" s="89"/>
      <c r="F833" s="89"/>
      <c r="G833" s="89"/>
      <c r="H833" s="89"/>
      <c r="I833" s="89"/>
      <c r="J833" s="89"/>
      <c r="K833" s="89"/>
    </row>
    <row r="834">
      <c r="B834" s="89"/>
      <c r="C834" s="89"/>
      <c r="D834" s="89"/>
      <c r="E834" s="89"/>
      <c r="F834" s="89"/>
      <c r="G834" s="89"/>
      <c r="H834" s="89"/>
      <c r="I834" s="89"/>
      <c r="J834" s="89"/>
      <c r="K834" s="89"/>
    </row>
    <row r="835">
      <c r="B835" s="89"/>
      <c r="C835" s="89"/>
      <c r="D835" s="89"/>
      <c r="E835" s="89"/>
      <c r="F835" s="89"/>
      <c r="G835" s="89"/>
      <c r="H835" s="89"/>
      <c r="I835" s="89"/>
      <c r="J835" s="89"/>
      <c r="K835" s="89"/>
    </row>
    <row r="836">
      <c r="B836" s="89"/>
      <c r="C836" s="89"/>
      <c r="D836" s="89"/>
      <c r="E836" s="89"/>
      <c r="F836" s="89"/>
      <c r="G836" s="89"/>
      <c r="H836" s="89"/>
      <c r="I836" s="89"/>
      <c r="J836" s="89"/>
      <c r="K836" s="89"/>
    </row>
    <row r="837">
      <c r="B837" s="89"/>
      <c r="C837" s="89"/>
      <c r="D837" s="89"/>
      <c r="E837" s="89"/>
      <c r="F837" s="89"/>
      <c r="G837" s="89"/>
      <c r="H837" s="89"/>
      <c r="I837" s="89"/>
      <c r="J837" s="89"/>
      <c r="K837" s="89"/>
    </row>
    <row r="838">
      <c r="B838" s="89"/>
      <c r="C838" s="89"/>
      <c r="D838" s="89"/>
      <c r="E838" s="89"/>
      <c r="F838" s="89"/>
      <c r="G838" s="89"/>
      <c r="H838" s="89"/>
      <c r="I838" s="89"/>
      <c r="J838" s="89"/>
      <c r="K838" s="89"/>
    </row>
    <row r="839">
      <c r="B839" s="89"/>
      <c r="C839" s="89"/>
      <c r="D839" s="89"/>
      <c r="E839" s="89"/>
      <c r="F839" s="89"/>
      <c r="G839" s="89"/>
      <c r="H839" s="89"/>
      <c r="I839" s="89"/>
      <c r="J839" s="89"/>
      <c r="K839" s="89"/>
    </row>
    <row r="840">
      <c r="B840" s="89"/>
      <c r="C840" s="89"/>
      <c r="D840" s="89"/>
      <c r="E840" s="89"/>
      <c r="F840" s="89"/>
      <c r="G840" s="89"/>
      <c r="H840" s="89"/>
      <c r="I840" s="89"/>
      <c r="J840" s="89"/>
      <c r="K840" s="89"/>
    </row>
    <row r="841">
      <c r="B841" s="89"/>
      <c r="C841" s="89"/>
      <c r="D841" s="89"/>
      <c r="E841" s="89"/>
      <c r="F841" s="89"/>
      <c r="G841" s="89"/>
      <c r="H841" s="89"/>
      <c r="I841" s="89"/>
      <c r="J841" s="89"/>
      <c r="K841" s="89"/>
    </row>
    <row r="842">
      <c r="B842" s="89"/>
      <c r="C842" s="89"/>
      <c r="D842" s="89"/>
      <c r="E842" s="89"/>
      <c r="F842" s="89"/>
      <c r="G842" s="89"/>
      <c r="H842" s="89"/>
      <c r="I842" s="89"/>
      <c r="J842" s="89"/>
      <c r="K842" s="89"/>
    </row>
    <row r="843">
      <c r="B843" s="89"/>
      <c r="C843" s="89"/>
      <c r="D843" s="89"/>
      <c r="E843" s="89"/>
      <c r="F843" s="89"/>
      <c r="G843" s="89"/>
      <c r="H843" s="89"/>
      <c r="I843" s="89"/>
      <c r="J843" s="89"/>
      <c r="K843" s="89"/>
    </row>
    <row r="844">
      <c r="B844" s="89"/>
      <c r="C844" s="89"/>
      <c r="D844" s="89"/>
      <c r="E844" s="89"/>
      <c r="F844" s="89"/>
      <c r="G844" s="89"/>
      <c r="H844" s="89"/>
      <c r="I844" s="89"/>
      <c r="J844" s="89"/>
      <c r="K844" s="89"/>
    </row>
    <row r="845">
      <c r="B845" s="89"/>
      <c r="C845" s="89"/>
      <c r="D845" s="89"/>
      <c r="E845" s="89"/>
      <c r="F845" s="89"/>
      <c r="G845" s="89"/>
      <c r="H845" s="89"/>
      <c r="I845" s="89"/>
      <c r="J845" s="89"/>
      <c r="K845" s="89"/>
    </row>
    <row r="846">
      <c r="B846" s="89"/>
      <c r="C846" s="89"/>
      <c r="D846" s="89"/>
      <c r="E846" s="89"/>
      <c r="F846" s="89"/>
      <c r="G846" s="89"/>
      <c r="H846" s="89"/>
      <c r="I846" s="89"/>
      <c r="J846" s="89"/>
      <c r="K846" s="89"/>
    </row>
    <row r="847">
      <c r="B847" s="89"/>
      <c r="C847" s="89"/>
      <c r="D847" s="89"/>
      <c r="E847" s="89"/>
      <c r="F847" s="89"/>
      <c r="G847" s="89"/>
      <c r="H847" s="89"/>
      <c r="I847" s="89"/>
      <c r="J847" s="89"/>
      <c r="K847" s="89"/>
    </row>
    <row r="848">
      <c r="B848" s="89"/>
      <c r="C848" s="89"/>
      <c r="D848" s="89"/>
      <c r="E848" s="89"/>
      <c r="F848" s="89"/>
      <c r="G848" s="89"/>
      <c r="H848" s="89"/>
      <c r="I848" s="89"/>
      <c r="J848" s="89"/>
      <c r="K848" s="89"/>
    </row>
    <row r="849">
      <c r="B849" s="89"/>
      <c r="C849" s="89"/>
      <c r="D849" s="89"/>
      <c r="E849" s="89"/>
      <c r="F849" s="89"/>
      <c r="G849" s="89"/>
      <c r="H849" s="89"/>
      <c r="I849" s="89"/>
      <c r="J849" s="89"/>
      <c r="K849" s="89"/>
    </row>
    <row r="850">
      <c r="B850" s="89"/>
      <c r="C850" s="89"/>
      <c r="D850" s="89"/>
      <c r="E850" s="89"/>
      <c r="F850" s="89"/>
      <c r="G850" s="89"/>
      <c r="H850" s="89"/>
      <c r="I850" s="89"/>
      <c r="J850" s="89"/>
      <c r="K850" s="89"/>
    </row>
    <row r="851">
      <c r="B851" s="89"/>
      <c r="C851" s="89"/>
      <c r="D851" s="89"/>
      <c r="E851" s="89"/>
      <c r="F851" s="89"/>
      <c r="G851" s="89"/>
      <c r="H851" s="89"/>
      <c r="I851" s="89"/>
      <c r="J851" s="89"/>
      <c r="K851" s="89"/>
    </row>
    <row r="852">
      <c r="B852" s="89"/>
      <c r="C852" s="89"/>
      <c r="D852" s="89"/>
      <c r="E852" s="89"/>
      <c r="F852" s="89"/>
      <c r="G852" s="89"/>
      <c r="H852" s="89"/>
      <c r="I852" s="89"/>
      <c r="J852" s="89"/>
      <c r="K852" s="89"/>
    </row>
    <row r="853">
      <c r="B853" s="89"/>
      <c r="C853" s="89"/>
      <c r="D853" s="89"/>
      <c r="E853" s="89"/>
      <c r="F853" s="89"/>
      <c r="G853" s="89"/>
      <c r="H853" s="89"/>
      <c r="I853" s="89"/>
      <c r="J853" s="89"/>
      <c r="K853" s="89"/>
    </row>
    <row r="854">
      <c r="B854" s="89"/>
      <c r="C854" s="89"/>
      <c r="D854" s="89"/>
      <c r="E854" s="89"/>
      <c r="F854" s="89"/>
      <c r="G854" s="89"/>
      <c r="H854" s="89"/>
      <c r="I854" s="89"/>
      <c r="J854" s="89"/>
      <c r="K854" s="89"/>
    </row>
    <row r="855">
      <c r="B855" s="89"/>
      <c r="C855" s="89"/>
      <c r="D855" s="89"/>
      <c r="E855" s="89"/>
      <c r="F855" s="89"/>
      <c r="G855" s="89"/>
      <c r="H855" s="89"/>
      <c r="I855" s="89"/>
      <c r="J855" s="89"/>
      <c r="K855" s="89"/>
    </row>
    <row r="856">
      <c r="B856" s="89"/>
      <c r="C856" s="89"/>
      <c r="D856" s="89"/>
      <c r="E856" s="89"/>
      <c r="F856" s="89"/>
      <c r="G856" s="89"/>
      <c r="H856" s="89"/>
      <c r="I856" s="89"/>
      <c r="J856" s="89"/>
      <c r="K856" s="89"/>
    </row>
    <row r="857">
      <c r="B857" s="89"/>
      <c r="C857" s="89"/>
      <c r="D857" s="89"/>
      <c r="E857" s="89"/>
      <c r="F857" s="89"/>
      <c r="G857" s="89"/>
      <c r="H857" s="89"/>
      <c r="I857" s="89"/>
      <c r="J857" s="89"/>
      <c r="K857" s="89"/>
    </row>
    <row r="858">
      <c r="B858" s="89"/>
      <c r="C858" s="89"/>
      <c r="D858" s="89"/>
      <c r="E858" s="89"/>
      <c r="F858" s="89"/>
      <c r="G858" s="89"/>
      <c r="H858" s="89"/>
      <c r="I858" s="89"/>
      <c r="J858" s="89"/>
      <c r="K858" s="89"/>
    </row>
    <row r="859">
      <c r="B859" s="89"/>
      <c r="C859" s="89"/>
      <c r="D859" s="89"/>
      <c r="E859" s="89"/>
      <c r="F859" s="89"/>
      <c r="G859" s="89"/>
      <c r="H859" s="89"/>
      <c r="I859" s="89"/>
      <c r="J859" s="89"/>
      <c r="K859" s="89"/>
    </row>
    <row r="860">
      <c r="B860" s="89"/>
      <c r="C860" s="89"/>
      <c r="D860" s="89"/>
      <c r="E860" s="89"/>
      <c r="F860" s="89"/>
      <c r="G860" s="89"/>
      <c r="H860" s="89"/>
      <c r="I860" s="89"/>
      <c r="J860" s="89"/>
      <c r="K860" s="89"/>
    </row>
    <row r="861">
      <c r="B861" s="89"/>
      <c r="C861" s="89"/>
      <c r="D861" s="89"/>
      <c r="E861" s="89"/>
      <c r="F861" s="89"/>
      <c r="G861" s="89"/>
      <c r="H861" s="89"/>
      <c r="I861" s="89"/>
      <c r="J861" s="89"/>
      <c r="K861" s="89"/>
    </row>
    <row r="862">
      <c r="B862" s="89"/>
      <c r="C862" s="89"/>
      <c r="D862" s="89"/>
      <c r="E862" s="89"/>
      <c r="F862" s="89"/>
      <c r="G862" s="89"/>
      <c r="H862" s="89"/>
      <c r="I862" s="89"/>
      <c r="J862" s="89"/>
      <c r="K862" s="89"/>
    </row>
    <row r="863">
      <c r="B863" s="89"/>
      <c r="C863" s="89"/>
      <c r="D863" s="89"/>
      <c r="E863" s="89"/>
      <c r="F863" s="89"/>
      <c r="G863" s="89"/>
      <c r="H863" s="89"/>
      <c r="I863" s="89"/>
      <c r="J863" s="89"/>
      <c r="K863" s="89"/>
    </row>
    <row r="864">
      <c r="B864" s="89"/>
      <c r="C864" s="89"/>
      <c r="D864" s="89"/>
      <c r="E864" s="89"/>
      <c r="F864" s="89"/>
      <c r="G864" s="89"/>
      <c r="H864" s="89"/>
      <c r="I864" s="89"/>
      <c r="J864" s="89"/>
      <c r="K864" s="89"/>
    </row>
    <row r="865">
      <c r="B865" s="89"/>
      <c r="C865" s="89"/>
      <c r="D865" s="89"/>
      <c r="E865" s="89"/>
      <c r="F865" s="89"/>
      <c r="G865" s="89"/>
      <c r="H865" s="89"/>
      <c r="I865" s="89"/>
      <c r="J865" s="89"/>
      <c r="K865" s="89"/>
    </row>
    <row r="866">
      <c r="B866" s="89"/>
      <c r="C866" s="89"/>
      <c r="D866" s="89"/>
      <c r="E866" s="89"/>
      <c r="F866" s="89"/>
      <c r="G866" s="89"/>
      <c r="H866" s="89"/>
      <c r="I866" s="89"/>
      <c r="J866" s="89"/>
      <c r="K866" s="89"/>
    </row>
    <row r="867">
      <c r="B867" s="89"/>
      <c r="C867" s="89"/>
      <c r="D867" s="89"/>
      <c r="E867" s="89"/>
      <c r="F867" s="89"/>
      <c r="G867" s="89"/>
      <c r="H867" s="89"/>
      <c r="I867" s="89"/>
      <c r="J867" s="89"/>
      <c r="K867" s="89"/>
    </row>
    <row r="868">
      <c r="B868" s="89"/>
      <c r="C868" s="89"/>
      <c r="D868" s="89"/>
      <c r="E868" s="89"/>
      <c r="F868" s="89"/>
      <c r="G868" s="89"/>
      <c r="H868" s="89"/>
      <c r="I868" s="89"/>
      <c r="J868" s="89"/>
      <c r="K868" s="89"/>
    </row>
    <row r="869">
      <c r="B869" s="89"/>
      <c r="C869" s="89"/>
      <c r="D869" s="89"/>
      <c r="E869" s="89"/>
      <c r="F869" s="89"/>
      <c r="G869" s="89"/>
      <c r="H869" s="89"/>
      <c r="I869" s="89"/>
      <c r="J869" s="89"/>
      <c r="K869" s="89"/>
    </row>
    <row r="870">
      <c r="B870" s="89"/>
      <c r="C870" s="89"/>
      <c r="D870" s="89"/>
      <c r="E870" s="89"/>
      <c r="F870" s="89"/>
      <c r="G870" s="89"/>
      <c r="H870" s="89"/>
      <c r="I870" s="89"/>
      <c r="J870" s="89"/>
      <c r="K870" s="89"/>
    </row>
    <row r="871">
      <c r="B871" s="89"/>
      <c r="C871" s="89"/>
      <c r="D871" s="89"/>
      <c r="E871" s="89"/>
      <c r="F871" s="89"/>
      <c r="G871" s="89"/>
      <c r="H871" s="89"/>
      <c r="I871" s="89"/>
      <c r="J871" s="89"/>
      <c r="K871" s="89"/>
    </row>
    <row r="872">
      <c r="B872" s="89"/>
      <c r="C872" s="89"/>
      <c r="D872" s="89"/>
      <c r="E872" s="89"/>
      <c r="F872" s="89"/>
      <c r="G872" s="89"/>
      <c r="H872" s="89"/>
      <c r="I872" s="89"/>
      <c r="J872" s="89"/>
      <c r="K872" s="89"/>
    </row>
    <row r="873">
      <c r="B873" s="89"/>
      <c r="C873" s="89"/>
      <c r="D873" s="89"/>
      <c r="E873" s="89"/>
      <c r="F873" s="89"/>
      <c r="G873" s="89"/>
      <c r="H873" s="89"/>
      <c r="I873" s="89"/>
      <c r="J873" s="89"/>
      <c r="K873" s="89"/>
    </row>
    <row r="874">
      <c r="B874" s="89"/>
      <c r="C874" s="89"/>
      <c r="D874" s="89"/>
      <c r="E874" s="89"/>
      <c r="F874" s="89"/>
      <c r="G874" s="89"/>
      <c r="H874" s="89"/>
      <c r="I874" s="89"/>
      <c r="J874" s="89"/>
      <c r="K874" s="89"/>
    </row>
    <row r="875">
      <c r="B875" s="89"/>
      <c r="C875" s="89"/>
      <c r="D875" s="89"/>
      <c r="E875" s="89"/>
      <c r="F875" s="89"/>
      <c r="G875" s="89"/>
      <c r="H875" s="89"/>
      <c r="I875" s="89"/>
      <c r="J875" s="89"/>
      <c r="K875" s="89"/>
    </row>
    <row r="876">
      <c r="B876" s="89"/>
      <c r="C876" s="89"/>
      <c r="D876" s="89"/>
      <c r="E876" s="89"/>
      <c r="F876" s="89"/>
      <c r="G876" s="89"/>
      <c r="H876" s="89"/>
      <c r="I876" s="89"/>
      <c r="J876" s="89"/>
      <c r="K876" s="89"/>
    </row>
    <row r="877">
      <c r="B877" s="89"/>
      <c r="C877" s="89"/>
      <c r="D877" s="89"/>
      <c r="E877" s="89"/>
      <c r="F877" s="89"/>
      <c r="G877" s="89"/>
      <c r="H877" s="89"/>
      <c r="I877" s="89"/>
      <c r="J877" s="89"/>
      <c r="K877" s="89"/>
    </row>
    <row r="878">
      <c r="B878" s="89"/>
      <c r="C878" s="89"/>
      <c r="D878" s="89"/>
      <c r="E878" s="89"/>
      <c r="F878" s="89"/>
      <c r="G878" s="89"/>
      <c r="H878" s="89"/>
      <c r="I878" s="89"/>
      <c r="J878" s="89"/>
      <c r="K878" s="89"/>
    </row>
    <row r="879">
      <c r="B879" s="89"/>
      <c r="C879" s="89"/>
      <c r="D879" s="89"/>
      <c r="E879" s="89"/>
      <c r="F879" s="89"/>
      <c r="G879" s="89"/>
      <c r="H879" s="89"/>
      <c r="I879" s="89"/>
      <c r="J879" s="89"/>
      <c r="K879" s="89"/>
    </row>
    <row r="880">
      <c r="B880" s="89"/>
      <c r="C880" s="89"/>
      <c r="D880" s="89"/>
      <c r="E880" s="89"/>
      <c r="F880" s="89"/>
      <c r="G880" s="89"/>
      <c r="H880" s="89"/>
      <c r="I880" s="89"/>
      <c r="J880" s="89"/>
      <c r="K880" s="89"/>
    </row>
    <row r="881">
      <c r="B881" s="89"/>
      <c r="C881" s="89"/>
      <c r="D881" s="89"/>
      <c r="E881" s="89"/>
      <c r="F881" s="89"/>
      <c r="G881" s="89"/>
      <c r="H881" s="89"/>
      <c r="I881" s="89"/>
      <c r="J881" s="89"/>
      <c r="K881" s="89"/>
    </row>
    <row r="882">
      <c r="B882" s="89"/>
      <c r="C882" s="89"/>
      <c r="D882" s="89"/>
      <c r="E882" s="89"/>
      <c r="F882" s="89"/>
      <c r="G882" s="89"/>
      <c r="H882" s="89"/>
      <c r="I882" s="89"/>
      <c r="J882" s="89"/>
      <c r="K882" s="89"/>
    </row>
    <row r="883">
      <c r="B883" s="89"/>
      <c r="C883" s="89"/>
      <c r="D883" s="89"/>
      <c r="E883" s="89"/>
      <c r="F883" s="89"/>
      <c r="G883" s="89"/>
      <c r="H883" s="89"/>
      <c r="I883" s="89"/>
      <c r="J883" s="89"/>
      <c r="K883" s="89"/>
    </row>
    <row r="884">
      <c r="B884" s="89"/>
      <c r="C884" s="89"/>
      <c r="D884" s="89"/>
      <c r="E884" s="89"/>
      <c r="F884" s="89"/>
      <c r="G884" s="89"/>
      <c r="H884" s="89"/>
      <c r="I884" s="89"/>
      <c r="J884" s="89"/>
      <c r="K884" s="89"/>
    </row>
    <row r="885">
      <c r="B885" s="89"/>
      <c r="C885" s="89"/>
      <c r="D885" s="89"/>
      <c r="E885" s="89"/>
      <c r="F885" s="89"/>
      <c r="G885" s="89"/>
      <c r="H885" s="89"/>
      <c r="I885" s="89"/>
      <c r="J885" s="89"/>
      <c r="K885" s="89"/>
    </row>
    <row r="886">
      <c r="B886" s="89"/>
      <c r="C886" s="89"/>
      <c r="D886" s="89"/>
      <c r="E886" s="89"/>
      <c r="F886" s="89"/>
      <c r="G886" s="89"/>
      <c r="H886" s="89"/>
      <c r="I886" s="89"/>
      <c r="J886" s="89"/>
      <c r="K886" s="89"/>
    </row>
    <row r="887">
      <c r="B887" s="89"/>
      <c r="C887" s="89"/>
      <c r="D887" s="89"/>
      <c r="E887" s="89"/>
      <c r="F887" s="89"/>
      <c r="G887" s="89"/>
      <c r="H887" s="89"/>
      <c r="I887" s="89"/>
      <c r="J887" s="89"/>
      <c r="K887" s="89"/>
    </row>
    <row r="888">
      <c r="B888" s="89"/>
      <c r="C888" s="89"/>
      <c r="D888" s="89"/>
      <c r="E888" s="89"/>
      <c r="F888" s="89"/>
      <c r="G888" s="89"/>
      <c r="H888" s="89"/>
      <c r="I888" s="89"/>
      <c r="J888" s="89"/>
      <c r="K888" s="89"/>
    </row>
    <row r="889">
      <c r="B889" s="89"/>
      <c r="C889" s="89"/>
      <c r="D889" s="89"/>
      <c r="E889" s="89"/>
      <c r="F889" s="89"/>
      <c r="G889" s="89"/>
      <c r="H889" s="89"/>
      <c r="I889" s="89"/>
      <c r="J889" s="89"/>
      <c r="K889" s="89"/>
    </row>
    <row r="890">
      <c r="B890" s="89"/>
      <c r="C890" s="89"/>
      <c r="D890" s="89"/>
      <c r="E890" s="89"/>
      <c r="F890" s="89"/>
      <c r="G890" s="89"/>
      <c r="H890" s="89"/>
      <c r="I890" s="89"/>
      <c r="J890" s="89"/>
      <c r="K890" s="89"/>
    </row>
    <row r="891">
      <c r="B891" s="89"/>
      <c r="C891" s="89"/>
      <c r="D891" s="89"/>
      <c r="E891" s="89"/>
      <c r="F891" s="89"/>
      <c r="G891" s="89"/>
      <c r="H891" s="89"/>
      <c r="I891" s="89"/>
      <c r="J891" s="89"/>
      <c r="K891" s="89"/>
    </row>
    <row r="892">
      <c r="B892" s="89"/>
      <c r="C892" s="89"/>
      <c r="D892" s="89"/>
      <c r="E892" s="89"/>
      <c r="F892" s="89"/>
      <c r="G892" s="89"/>
      <c r="H892" s="89"/>
      <c r="I892" s="89"/>
      <c r="J892" s="89"/>
      <c r="K892" s="89"/>
    </row>
    <row r="893">
      <c r="B893" s="89"/>
      <c r="C893" s="89"/>
      <c r="D893" s="89"/>
      <c r="E893" s="89"/>
      <c r="F893" s="89"/>
      <c r="G893" s="89"/>
      <c r="H893" s="89"/>
      <c r="I893" s="89"/>
      <c r="J893" s="89"/>
      <c r="K893" s="89"/>
    </row>
    <row r="894">
      <c r="B894" s="89"/>
      <c r="C894" s="89"/>
      <c r="D894" s="89"/>
      <c r="E894" s="89"/>
      <c r="F894" s="89"/>
      <c r="G894" s="89"/>
      <c r="H894" s="89"/>
      <c r="I894" s="89"/>
      <c r="J894" s="89"/>
      <c r="K894" s="89"/>
    </row>
    <row r="895">
      <c r="B895" s="89"/>
      <c r="C895" s="89"/>
      <c r="D895" s="89"/>
      <c r="E895" s="89"/>
      <c r="F895" s="89"/>
      <c r="G895" s="89"/>
      <c r="H895" s="89"/>
      <c r="I895" s="89"/>
      <c r="J895" s="89"/>
      <c r="K895" s="89"/>
    </row>
    <row r="896">
      <c r="B896" s="89"/>
      <c r="C896" s="89"/>
      <c r="D896" s="89"/>
      <c r="E896" s="89"/>
      <c r="F896" s="89"/>
      <c r="G896" s="89"/>
      <c r="H896" s="89"/>
      <c r="I896" s="89"/>
      <c r="J896" s="89"/>
      <c r="K896" s="89"/>
    </row>
    <row r="897">
      <c r="B897" s="89"/>
      <c r="C897" s="89"/>
      <c r="D897" s="89"/>
      <c r="E897" s="89"/>
      <c r="F897" s="89"/>
      <c r="G897" s="89"/>
      <c r="H897" s="89"/>
      <c r="I897" s="89"/>
      <c r="J897" s="89"/>
      <c r="K897" s="89"/>
    </row>
    <row r="898">
      <c r="B898" s="89"/>
      <c r="C898" s="89"/>
      <c r="D898" s="89"/>
      <c r="E898" s="89"/>
      <c r="F898" s="89"/>
      <c r="G898" s="89"/>
      <c r="H898" s="89"/>
      <c r="I898" s="89"/>
      <c r="J898" s="89"/>
      <c r="K898" s="89"/>
    </row>
    <row r="899">
      <c r="B899" s="89"/>
      <c r="C899" s="89"/>
      <c r="D899" s="89"/>
      <c r="E899" s="89"/>
      <c r="F899" s="89"/>
      <c r="G899" s="89"/>
      <c r="H899" s="89"/>
      <c r="I899" s="89"/>
      <c r="J899" s="89"/>
      <c r="K899" s="89"/>
    </row>
    <row r="900">
      <c r="B900" s="89"/>
      <c r="C900" s="89"/>
      <c r="D900" s="89"/>
      <c r="E900" s="89"/>
      <c r="F900" s="89"/>
      <c r="G900" s="89"/>
      <c r="H900" s="89"/>
      <c r="I900" s="89"/>
      <c r="J900" s="89"/>
      <c r="K900" s="89"/>
    </row>
    <row r="901">
      <c r="B901" s="89"/>
      <c r="C901" s="89"/>
      <c r="D901" s="89"/>
      <c r="E901" s="89"/>
      <c r="F901" s="89"/>
      <c r="G901" s="89"/>
      <c r="H901" s="89"/>
      <c r="I901" s="89"/>
      <c r="J901" s="89"/>
      <c r="K901" s="89"/>
    </row>
    <row r="902">
      <c r="B902" s="89"/>
      <c r="C902" s="89"/>
      <c r="D902" s="89"/>
      <c r="E902" s="89"/>
      <c r="F902" s="89"/>
      <c r="G902" s="89"/>
      <c r="H902" s="89"/>
      <c r="I902" s="89"/>
      <c r="J902" s="89"/>
      <c r="K902" s="89"/>
    </row>
    <row r="903">
      <c r="B903" s="89"/>
      <c r="C903" s="89"/>
      <c r="D903" s="89"/>
      <c r="E903" s="89"/>
      <c r="F903" s="89"/>
      <c r="G903" s="89"/>
      <c r="H903" s="89"/>
      <c r="I903" s="89"/>
      <c r="J903" s="89"/>
      <c r="K903" s="89"/>
    </row>
    <row r="904">
      <c r="B904" s="89"/>
      <c r="C904" s="89"/>
      <c r="D904" s="89"/>
      <c r="E904" s="89"/>
      <c r="F904" s="89"/>
      <c r="G904" s="89"/>
      <c r="H904" s="89"/>
      <c r="I904" s="89"/>
      <c r="J904" s="89"/>
      <c r="K904" s="89"/>
    </row>
    <row r="905">
      <c r="B905" s="89"/>
      <c r="C905" s="89"/>
      <c r="D905" s="89"/>
      <c r="E905" s="89"/>
      <c r="F905" s="89"/>
      <c r="G905" s="89"/>
      <c r="H905" s="89"/>
      <c r="I905" s="89"/>
      <c r="J905" s="89"/>
      <c r="K905" s="89"/>
    </row>
    <row r="906">
      <c r="B906" s="89"/>
      <c r="C906" s="89"/>
      <c r="D906" s="89"/>
      <c r="E906" s="89"/>
      <c r="F906" s="89"/>
      <c r="G906" s="89"/>
      <c r="H906" s="89"/>
      <c r="I906" s="89"/>
      <c r="J906" s="89"/>
      <c r="K906" s="89"/>
    </row>
    <row r="907">
      <c r="B907" s="89"/>
      <c r="C907" s="89"/>
      <c r="D907" s="89"/>
      <c r="E907" s="89"/>
      <c r="F907" s="89"/>
      <c r="G907" s="89"/>
      <c r="H907" s="89"/>
      <c r="I907" s="89"/>
      <c r="J907" s="89"/>
      <c r="K907" s="89"/>
    </row>
    <row r="908">
      <c r="B908" s="89"/>
      <c r="C908" s="89"/>
      <c r="D908" s="89"/>
      <c r="E908" s="89"/>
      <c r="F908" s="89"/>
      <c r="G908" s="89"/>
      <c r="H908" s="89"/>
      <c r="I908" s="89"/>
      <c r="J908" s="89"/>
      <c r="K908" s="89"/>
    </row>
    <row r="909">
      <c r="B909" s="89"/>
      <c r="C909" s="89"/>
      <c r="D909" s="89"/>
      <c r="E909" s="89"/>
      <c r="F909" s="89"/>
      <c r="G909" s="89"/>
      <c r="H909" s="89"/>
      <c r="I909" s="89"/>
      <c r="J909" s="89"/>
      <c r="K909" s="89"/>
    </row>
    <row r="910">
      <c r="B910" s="89"/>
      <c r="C910" s="89"/>
      <c r="D910" s="89"/>
      <c r="E910" s="89"/>
      <c r="F910" s="89"/>
      <c r="G910" s="89"/>
      <c r="H910" s="89"/>
      <c r="I910" s="89"/>
      <c r="J910" s="89"/>
      <c r="K910" s="89"/>
    </row>
    <row r="911">
      <c r="B911" s="89"/>
      <c r="C911" s="89"/>
      <c r="D911" s="89"/>
      <c r="E911" s="89"/>
      <c r="F911" s="89"/>
      <c r="G911" s="89"/>
      <c r="H911" s="89"/>
      <c r="I911" s="89"/>
      <c r="J911" s="89"/>
      <c r="K911" s="89"/>
    </row>
    <row r="912">
      <c r="B912" s="89"/>
      <c r="C912" s="89"/>
      <c r="D912" s="89"/>
      <c r="E912" s="89"/>
      <c r="F912" s="89"/>
      <c r="G912" s="89"/>
      <c r="H912" s="89"/>
      <c r="I912" s="89"/>
      <c r="J912" s="89"/>
      <c r="K912" s="89"/>
    </row>
    <row r="913">
      <c r="B913" s="89"/>
      <c r="C913" s="89"/>
      <c r="D913" s="89"/>
      <c r="E913" s="89"/>
      <c r="F913" s="89"/>
      <c r="G913" s="89"/>
      <c r="H913" s="89"/>
      <c r="I913" s="89"/>
      <c r="J913" s="89"/>
      <c r="K913" s="89"/>
    </row>
    <row r="914">
      <c r="B914" s="89"/>
      <c r="C914" s="89"/>
      <c r="D914" s="89"/>
      <c r="E914" s="89"/>
      <c r="F914" s="89"/>
      <c r="G914" s="89"/>
      <c r="H914" s="89"/>
      <c r="I914" s="89"/>
      <c r="J914" s="89"/>
      <c r="K914" s="89"/>
    </row>
    <row r="915">
      <c r="B915" s="89"/>
      <c r="C915" s="89"/>
      <c r="D915" s="89"/>
      <c r="E915" s="89"/>
      <c r="F915" s="89"/>
      <c r="G915" s="89"/>
      <c r="H915" s="89"/>
      <c r="I915" s="89"/>
      <c r="J915" s="89"/>
      <c r="K915" s="89"/>
    </row>
    <row r="916">
      <c r="B916" s="89"/>
      <c r="C916" s="89"/>
      <c r="D916" s="89"/>
      <c r="E916" s="89"/>
      <c r="F916" s="89"/>
      <c r="G916" s="89"/>
      <c r="H916" s="89"/>
      <c r="I916" s="89"/>
      <c r="J916" s="89"/>
      <c r="K916" s="89"/>
    </row>
    <row r="917">
      <c r="B917" s="89"/>
      <c r="C917" s="89"/>
      <c r="D917" s="89"/>
      <c r="E917" s="89"/>
      <c r="F917" s="89"/>
      <c r="G917" s="89"/>
      <c r="H917" s="89"/>
      <c r="I917" s="89"/>
      <c r="J917" s="89"/>
      <c r="K917" s="89"/>
    </row>
    <row r="918">
      <c r="B918" s="89"/>
      <c r="C918" s="89"/>
      <c r="D918" s="89"/>
      <c r="E918" s="89"/>
      <c r="F918" s="89"/>
      <c r="G918" s="89"/>
      <c r="H918" s="89"/>
      <c r="I918" s="89"/>
      <c r="J918" s="89"/>
      <c r="K918" s="89"/>
    </row>
    <row r="919">
      <c r="B919" s="89"/>
      <c r="C919" s="89"/>
      <c r="D919" s="89"/>
      <c r="E919" s="89"/>
      <c r="F919" s="89"/>
      <c r="G919" s="89"/>
      <c r="H919" s="89"/>
      <c r="I919" s="89"/>
      <c r="J919" s="89"/>
      <c r="K919" s="89"/>
    </row>
    <row r="920">
      <c r="B920" s="89"/>
      <c r="C920" s="89"/>
      <c r="D920" s="89"/>
      <c r="E920" s="89"/>
      <c r="F920" s="89"/>
      <c r="G920" s="89"/>
      <c r="H920" s="89"/>
      <c r="I920" s="89"/>
      <c r="J920" s="89"/>
      <c r="K920" s="89"/>
    </row>
    <row r="921">
      <c r="B921" s="89"/>
      <c r="C921" s="89"/>
      <c r="D921" s="89"/>
      <c r="E921" s="89"/>
      <c r="F921" s="89"/>
      <c r="G921" s="89"/>
      <c r="H921" s="89"/>
      <c r="I921" s="89"/>
      <c r="J921" s="89"/>
      <c r="K921" s="89"/>
    </row>
    <row r="922">
      <c r="B922" s="89"/>
      <c r="C922" s="89"/>
      <c r="D922" s="89"/>
      <c r="E922" s="89"/>
      <c r="F922" s="89"/>
      <c r="G922" s="89"/>
      <c r="H922" s="89"/>
      <c r="I922" s="89"/>
      <c r="J922" s="89"/>
      <c r="K922" s="89"/>
    </row>
    <row r="923">
      <c r="B923" s="89"/>
      <c r="C923" s="89"/>
      <c r="D923" s="89"/>
      <c r="E923" s="89"/>
      <c r="F923" s="89"/>
      <c r="G923" s="89"/>
      <c r="H923" s="89"/>
      <c r="I923" s="89"/>
      <c r="J923" s="89"/>
      <c r="K923" s="89"/>
    </row>
    <row r="924">
      <c r="B924" s="89"/>
      <c r="C924" s="89"/>
      <c r="D924" s="89"/>
      <c r="E924" s="89"/>
      <c r="F924" s="89"/>
      <c r="G924" s="89"/>
      <c r="H924" s="89"/>
      <c r="I924" s="89"/>
      <c r="J924" s="89"/>
      <c r="K924" s="89"/>
    </row>
    <row r="925">
      <c r="B925" s="89"/>
      <c r="C925" s="89"/>
      <c r="D925" s="89"/>
      <c r="E925" s="89"/>
      <c r="F925" s="89"/>
      <c r="G925" s="89"/>
      <c r="H925" s="89"/>
      <c r="I925" s="89"/>
      <c r="J925" s="89"/>
      <c r="K925" s="89"/>
    </row>
    <row r="926">
      <c r="B926" s="89"/>
      <c r="C926" s="89"/>
      <c r="D926" s="89"/>
      <c r="E926" s="89"/>
      <c r="F926" s="89"/>
      <c r="G926" s="89"/>
      <c r="H926" s="89"/>
      <c r="I926" s="89"/>
      <c r="J926" s="89"/>
      <c r="K926" s="89"/>
    </row>
    <row r="927">
      <c r="B927" s="89"/>
      <c r="C927" s="89"/>
      <c r="D927" s="89"/>
      <c r="E927" s="89"/>
      <c r="F927" s="89"/>
      <c r="G927" s="89"/>
      <c r="H927" s="89"/>
      <c r="I927" s="89"/>
      <c r="J927" s="89"/>
      <c r="K927" s="89"/>
    </row>
    <row r="928">
      <c r="B928" s="89"/>
      <c r="C928" s="89"/>
      <c r="D928" s="89"/>
      <c r="E928" s="89"/>
      <c r="F928" s="89"/>
      <c r="G928" s="89"/>
      <c r="H928" s="89"/>
      <c r="I928" s="89"/>
      <c r="J928" s="89"/>
      <c r="K928" s="89"/>
    </row>
    <row r="929">
      <c r="B929" s="89"/>
      <c r="C929" s="89"/>
      <c r="D929" s="89"/>
      <c r="E929" s="89"/>
      <c r="F929" s="89"/>
      <c r="G929" s="89"/>
      <c r="H929" s="89"/>
      <c r="I929" s="89"/>
      <c r="J929" s="89"/>
      <c r="K929" s="89"/>
    </row>
    <row r="930">
      <c r="B930" s="89"/>
      <c r="C930" s="89"/>
      <c r="D930" s="89"/>
      <c r="E930" s="89"/>
      <c r="F930" s="89"/>
      <c r="G930" s="89"/>
      <c r="H930" s="89"/>
      <c r="I930" s="89"/>
      <c r="J930" s="89"/>
      <c r="K930" s="89"/>
    </row>
    <row r="931">
      <c r="B931" s="89"/>
      <c r="C931" s="89"/>
      <c r="D931" s="89"/>
      <c r="E931" s="89"/>
      <c r="F931" s="89"/>
      <c r="G931" s="89"/>
      <c r="H931" s="89"/>
      <c r="I931" s="89"/>
      <c r="J931" s="89"/>
      <c r="K931" s="89"/>
    </row>
    <row r="932">
      <c r="B932" s="89"/>
      <c r="C932" s="89"/>
      <c r="D932" s="89"/>
      <c r="E932" s="89"/>
      <c r="F932" s="89"/>
      <c r="G932" s="89"/>
      <c r="H932" s="89"/>
      <c r="I932" s="89"/>
      <c r="J932" s="89"/>
      <c r="K932" s="89"/>
    </row>
    <row r="933">
      <c r="B933" s="89"/>
      <c r="C933" s="89"/>
      <c r="D933" s="89"/>
      <c r="E933" s="89"/>
      <c r="F933" s="89"/>
      <c r="G933" s="89"/>
      <c r="H933" s="89"/>
      <c r="I933" s="89"/>
      <c r="J933" s="89"/>
      <c r="K933" s="89"/>
    </row>
    <row r="934">
      <c r="B934" s="89"/>
      <c r="C934" s="89"/>
      <c r="D934" s="89"/>
      <c r="E934" s="89"/>
      <c r="F934" s="89"/>
      <c r="G934" s="89"/>
      <c r="H934" s="89"/>
      <c r="I934" s="89"/>
      <c r="J934" s="89"/>
      <c r="K934" s="89"/>
    </row>
    <row r="935">
      <c r="B935" s="89"/>
      <c r="C935" s="89"/>
      <c r="D935" s="89"/>
      <c r="E935" s="89"/>
      <c r="F935" s="89"/>
      <c r="G935" s="89"/>
      <c r="H935" s="89"/>
      <c r="I935" s="89"/>
      <c r="J935" s="89"/>
      <c r="K935" s="89"/>
    </row>
    <row r="936">
      <c r="B936" s="89"/>
      <c r="C936" s="89"/>
      <c r="D936" s="89"/>
      <c r="E936" s="89"/>
      <c r="F936" s="89"/>
      <c r="G936" s="89"/>
      <c r="H936" s="89"/>
      <c r="I936" s="89"/>
      <c r="J936" s="89"/>
      <c r="K936" s="89"/>
    </row>
    <row r="937">
      <c r="B937" s="89"/>
      <c r="C937" s="89"/>
      <c r="D937" s="89"/>
      <c r="E937" s="89"/>
      <c r="F937" s="89"/>
      <c r="G937" s="89"/>
      <c r="H937" s="89"/>
      <c r="I937" s="89"/>
      <c r="J937" s="89"/>
      <c r="K937" s="89"/>
    </row>
    <row r="938">
      <c r="B938" s="89"/>
      <c r="C938" s="89"/>
      <c r="D938" s="89"/>
      <c r="E938" s="89"/>
      <c r="F938" s="89"/>
      <c r="G938" s="89"/>
      <c r="H938" s="89"/>
      <c r="I938" s="89"/>
      <c r="J938" s="89"/>
      <c r="K938" s="89"/>
    </row>
    <row r="939">
      <c r="B939" s="89"/>
      <c r="C939" s="89"/>
      <c r="D939" s="89"/>
      <c r="E939" s="89"/>
      <c r="F939" s="89"/>
      <c r="G939" s="89"/>
      <c r="H939" s="89"/>
      <c r="I939" s="89"/>
      <c r="J939" s="89"/>
      <c r="K939" s="89"/>
    </row>
    <row r="940">
      <c r="B940" s="89"/>
      <c r="C940" s="89"/>
      <c r="D940" s="89"/>
      <c r="E940" s="89"/>
      <c r="F940" s="89"/>
      <c r="G940" s="89"/>
      <c r="H940" s="89"/>
      <c r="I940" s="89"/>
      <c r="J940" s="89"/>
      <c r="K940" s="89"/>
    </row>
    <row r="941">
      <c r="B941" s="89"/>
      <c r="C941" s="89"/>
      <c r="D941" s="89"/>
      <c r="E941" s="89"/>
      <c r="F941" s="89"/>
      <c r="G941" s="89"/>
      <c r="H941" s="89"/>
      <c r="I941" s="89"/>
      <c r="J941" s="89"/>
      <c r="K941" s="89"/>
    </row>
    <row r="942">
      <c r="B942" s="89"/>
      <c r="C942" s="89"/>
      <c r="D942" s="89"/>
      <c r="E942" s="89"/>
      <c r="F942" s="89"/>
      <c r="G942" s="89"/>
      <c r="H942" s="89"/>
      <c r="I942" s="89"/>
      <c r="J942" s="89"/>
      <c r="K942" s="89"/>
    </row>
    <row r="943">
      <c r="B943" s="89"/>
      <c r="C943" s="89"/>
      <c r="D943" s="89"/>
      <c r="E943" s="89"/>
      <c r="F943" s="89"/>
      <c r="G943" s="89"/>
      <c r="H943" s="89"/>
      <c r="I943" s="89"/>
      <c r="J943" s="89"/>
      <c r="K943" s="89"/>
    </row>
    <row r="944">
      <c r="B944" s="89"/>
      <c r="C944" s="89"/>
      <c r="D944" s="89"/>
      <c r="E944" s="89"/>
      <c r="F944" s="89"/>
      <c r="G944" s="89"/>
      <c r="H944" s="89"/>
      <c r="I944" s="89"/>
      <c r="J944" s="89"/>
      <c r="K944" s="89"/>
    </row>
    <row r="945">
      <c r="B945" s="89"/>
      <c r="C945" s="89"/>
      <c r="D945" s="89"/>
      <c r="E945" s="89"/>
      <c r="F945" s="89"/>
      <c r="G945" s="89"/>
      <c r="H945" s="89"/>
      <c r="I945" s="89"/>
      <c r="J945" s="89"/>
      <c r="K945" s="89"/>
    </row>
    <row r="946">
      <c r="B946" s="89"/>
      <c r="C946" s="89"/>
      <c r="D946" s="89"/>
      <c r="E946" s="89"/>
      <c r="F946" s="89"/>
      <c r="G946" s="89"/>
      <c r="H946" s="89"/>
      <c r="I946" s="89"/>
      <c r="J946" s="89"/>
      <c r="K946" s="89"/>
    </row>
    <row r="947">
      <c r="B947" s="89"/>
      <c r="C947" s="89"/>
      <c r="D947" s="89"/>
      <c r="E947" s="89"/>
      <c r="F947" s="89"/>
      <c r="G947" s="89"/>
      <c r="H947" s="89"/>
      <c r="I947" s="89"/>
      <c r="J947" s="89"/>
      <c r="K947" s="89"/>
    </row>
    <row r="948">
      <c r="B948" s="89"/>
      <c r="C948" s="89"/>
      <c r="D948" s="89"/>
      <c r="E948" s="89"/>
      <c r="F948" s="89"/>
      <c r="G948" s="89"/>
      <c r="H948" s="89"/>
      <c r="I948" s="89"/>
      <c r="J948" s="89"/>
      <c r="K948" s="89"/>
    </row>
    <row r="949">
      <c r="B949" s="89"/>
      <c r="C949" s="89"/>
      <c r="D949" s="89"/>
      <c r="E949" s="89"/>
      <c r="F949" s="89"/>
      <c r="G949" s="89"/>
      <c r="H949" s="89"/>
      <c r="I949" s="89"/>
      <c r="J949" s="89"/>
      <c r="K949" s="89"/>
    </row>
    <row r="950">
      <c r="B950" s="89"/>
      <c r="C950" s="89"/>
      <c r="D950" s="89"/>
      <c r="E950" s="89"/>
      <c r="F950" s="89"/>
      <c r="G950" s="89"/>
      <c r="H950" s="89"/>
      <c r="I950" s="89"/>
      <c r="J950" s="89"/>
      <c r="K950" s="89"/>
    </row>
    <row r="951">
      <c r="B951" s="89"/>
      <c r="C951" s="89"/>
      <c r="D951" s="89"/>
      <c r="E951" s="89"/>
      <c r="F951" s="89"/>
      <c r="G951" s="89"/>
      <c r="H951" s="89"/>
      <c r="I951" s="89"/>
      <c r="J951" s="89"/>
      <c r="K951" s="89"/>
    </row>
    <row r="952">
      <c r="B952" s="89"/>
      <c r="C952" s="89"/>
      <c r="D952" s="89"/>
      <c r="E952" s="89"/>
      <c r="F952" s="89"/>
      <c r="G952" s="89"/>
      <c r="H952" s="89"/>
      <c r="I952" s="89"/>
      <c r="J952" s="89"/>
      <c r="K952" s="89"/>
    </row>
    <row r="953">
      <c r="B953" s="89"/>
      <c r="C953" s="89"/>
      <c r="D953" s="89"/>
      <c r="E953" s="89"/>
      <c r="F953" s="89"/>
      <c r="G953" s="89"/>
      <c r="H953" s="89"/>
      <c r="I953" s="89"/>
      <c r="J953" s="89"/>
      <c r="K953" s="89"/>
    </row>
    <row r="954">
      <c r="B954" s="89"/>
      <c r="C954" s="89"/>
      <c r="D954" s="89"/>
      <c r="E954" s="89"/>
      <c r="F954" s="89"/>
      <c r="G954" s="89"/>
      <c r="H954" s="89"/>
      <c r="I954" s="89"/>
      <c r="J954" s="89"/>
      <c r="K954" s="89"/>
    </row>
    <row r="955">
      <c r="B955" s="89"/>
      <c r="C955" s="89"/>
      <c r="D955" s="89"/>
      <c r="E955" s="89"/>
      <c r="F955" s="89"/>
      <c r="G955" s="89"/>
      <c r="H955" s="89"/>
      <c r="I955" s="89"/>
      <c r="J955" s="89"/>
      <c r="K955" s="89"/>
    </row>
    <row r="956">
      <c r="B956" s="89"/>
      <c r="C956" s="89"/>
      <c r="D956" s="89"/>
      <c r="E956" s="89"/>
      <c r="F956" s="89"/>
      <c r="G956" s="89"/>
      <c r="H956" s="89"/>
      <c r="I956" s="89"/>
      <c r="J956" s="89"/>
      <c r="K956" s="89"/>
    </row>
    <row r="957">
      <c r="B957" s="89"/>
      <c r="C957" s="89"/>
      <c r="D957" s="89"/>
      <c r="E957" s="89"/>
      <c r="F957" s="89"/>
      <c r="G957" s="89"/>
      <c r="H957" s="89"/>
      <c r="I957" s="89"/>
      <c r="J957" s="89"/>
      <c r="K957" s="89"/>
    </row>
    <row r="958">
      <c r="B958" s="89"/>
      <c r="C958" s="89"/>
      <c r="D958" s="89"/>
      <c r="E958" s="89"/>
      <c r="F958" s="89"/>
      <c r="G958" s="89"/>
      <c r="H958" s="89"/>
      <c r="I958" s="89"/>
      <c r="J958" s="89"/>
      <c r="K958" s="89"/>
    </row>
    <row r="959">
      <c r="B959" s="89"/>
      <c r="C959" s="89"/>
      <c r="D959" s="89"/>
      <c r="E959" s="89"/>
      <c r="F959" s="89"/>
      <c r="G959" s="89"/>
      <c r="H959" s="89"/>
      <c r="I959" s="89"/>
      <c r="J959" s="89"/>
      <c r="K959" s="89"/>
    </row>
    <row r="960">
      <c r="B960" s="89"/>
      <c r="C960" s="89"/>
      <c r="D960" s="89"/>
      <c r="E960" s="89"/>
      <c r="F960" s="89"/>
      <c r="G960" s="89"/>
      <c r="H960" s="89"/>
      <c r="I960" s="89"/>
      <c r="J960" s="89"/>
      <c r="K960" s="89"/>
    </row>
    <row r="961">
      <c r="B961" s="89"/>
      <c r="C961" s="89"/>
      <c r="D961" s="89"/>
      <c r="E961" s="89"/>
      <c r="F961" s="89"/>
      <c r="G961" s="89"/>
      <c r="H961" s="89"/>
      <c r="I961" s="89"/>
      <c r="J961" s="89"/>
      <c r="K961" s="89"/>
    </row>
    <row r="962">
      <c r="B962" s="89"/>
      <c r="C962" s="89"/>
      <c r="D962" s="89"/>
      <c r="E962" s="89"/>
      <c r="F962" s="89"/>
      <c r="G962" s="89"/>
      <c r="H962" s="89"/>
      <c r="I962" s="89"/>
      <c r="J962" s="89"/>
      <c r="K962" s="89"/>
    </row>
    <row r="963">
      <c r="B963" s="89"/>
      <c r="C963" s="89"/>
      <c r="D963" s="89"/>
      <c r="E963" s="89"/>
      <c r="F963" s="89"/>
      <c r="G963" s="89"/>
      <c r="H963" s="89"/>
      <c r="I963" s="89"/>
      <c r="J963" s="89"/>
      <c r="K963" s="89"/>
    </row>
    <row r="964">
      <c r="B964" s="89"/>
      <c r="C964" s="89"/>
      <c r="D964" s="89"/>
      <c r="E964" s="89"/>
      <c r="F964" s="89"/>
      <c r="G964" s="89"/>
      <c r="H964" s="89"/>
      <c r="I964" s="89"/>
      <c r="J964" s="89"/>
      <c r="K964" s="89"/>
    </row>
    <row r="965">
      <c r="B965" s="89"/>
      <c r="C965" s="89"/>
      <c r="D965" s="89"/>
      <c r="E965" s="89"/>
      <c r="F965" s="89"/>
      <c r="G965" s="89"/>
      <c r="H965" s="89"/>
      <c r="I965" s="89"/>
      <c r="J965" s="89"/>
      <c r="K965" s="89"/>
    </row>
    <row r="966">
      <c r="B966" s="89"/>
      <c r="C966" s="89"/>
      <c r="D966" s="89"/>
      <c r="E966" s="89"/>
      <c r="F966" s="89"/>
      <c r="G966" s="89"/>
      <c r="H966" s="89"/>
      <c r="I966" s="89"/>
      <c r="J966" s="89"/>
      <c r="K966" s="89"/>
    </row>
    <row r="967">
      <c r="B967" s="89"/>
      <c r="C967" s="89"/>
      <c r="D967" s="89"/>
      <c r="E967" s="89"/>
      <c r="F967" s="89"/>
      <c r="G967" s="89"/>
      <c r="H967" s="89"/>
      <c r="I967" s="89"/>
      <c r="J967" s="89"/>
      <c r="K967" s="89"/>
    </row>
    <row r="968">
      <c r="B968" s="89"/>
      <c r="C968" s="89"/>
      <c r="D968" s="89"/>
      <c r="E968" s="89"/>
      <c r="F968" s="89"/>
      <c r="G968" s="89"/>
      <c r="H968" s="89"/>
      <c r="I968" s="89"/>
      <c r="J968" s="89"/>
      <c r="K968" s="89"/>
    </row>
    <row r="969">
      <c r="B969" s="89"/>
      <c r="C969" s="89"/>
      <c r="D969" s="89"/>
      <c r="E969" s="89"/>
      <c r="F969" s="89"/>
      <c r="G969" s="89"/>
      <c r="H969" s="89"/>
      <c r="I969" s="89"/>
      <c r="J969" s="89"/>
      <c r="K969" s="89"/>
    </row>
    <row r="970">
      <c r="B970" s="89"/>
      <c r="C970" s="89"/>
      <c r="D970" s="89"/>
      <c r="E970" s="89"/>
      <c r="F970" s="89"/>
      <c r="G970" s="89"/>
      <c r="H970" s="89"/>
      <c r="I970" s="89"/>
      <c r="J970" s="89"/>
      <c r="K970" s="89"/>
    </row>
    <row r="971">
      <c r="B971" s="89"/>
      <c r="C971" s="89"/>
      <c r="D971" s="89"/>
      <c r="E971" s="89"/>
      <c r="F971" s="89"/>
      <c r="G971" s="89"/>
      <c r="H971" s="89"/>
      <c r="I971" s="89"/>
      <c r="J971" s="89"/>
      <c r="K971" s="89"/>
    </row>
    <row r="972">
      <c r="B972" s="89"/>
      <c r="C972" s="89"/>
      <c r="D972" s="89"/>
      <c r="E972" s="89"/>
      <c r="F972" s="89"/>
      <c r="G972" s="89"/>
      <c r="H972" s="89"/>
      <c r="I972" s="89"/>
      <c r="J972" s="89"/>
      <c r="K972" s="89"/>
    </row>
    <row r="973">
      <c r="B973" s="89"/>
      <c r="C973" s="89"/>
      <c r="D973" s="89"/>
      <c r="E973" s="89"/>
      <c r="F973" s="89"/>
      <c r="G973" s="89"/>
      <c r="H973" s="89"/>
      <c r="I973" s="89"/>
      <c r="J973" s="89"/>
      <c r="K973" s="89"/>
    </row>
    <row r="974">
      <c r="B974" s="89"/>
      <c r="C974" s="89"/>
      <c r="D974" s="89"/>
      <c r="E974" s="89"/>
      <c r="F974" s="89"/>
      <c r="G974" s="89"/>
      <c r="H974" s="89"/>
      <c r="I974" s="89"/>
      <c r="J974" s="89"/>
      <c r="K974" s="89"/>
    </row>
    <row r="975">
      <c r="B975" s="89"/>
      <c r="C975" s="89"/>
      <c r="D975" s="89"/>
      <c r="E975" s="89"/>
      <c r="F975" s="89"/>
      <c r="G975" s="89"/>
      <c r="H975" s="89"/>
      <c r="I975" s="89"/>
      <c r="J975" s="89"/>
      <c r="K975" s="89"/>
    </row>
    <row r="976">
      <c r="B976" s="89"/>
      <c r="C976" s="89"/>
      <c r="D976" s="89"/>
      <c r="E976" s="89"/>
      <c r="F976" s="89"/>
      <c r="G976" s="89"/>
      <c r="H976" s="89"/>
      <c r="I976" s="89"/>
      <c r="J976" s="89"/>
      <c r="K976" s="89"/>
    </row>
    <row r="977">
      <c r="B977" s="89"/>
      <c r="C977" s="89"/>
      <c r="D977" s="89"/>
      <c r="E977" s="89"/>
      <c r="F977" s="89"/>
      <c r="G977" s="89"/>
      <c r="H977" s="89"/>
      <c r="I977" s="89"/>
      <c r="J977" s="89"/>
      <c r="K977" s="89"/>
    </row>
    <row r="978">
      <c r="B978" s="89"/>
      <c r="C978" s="89"/>
      <c r="D978" s="89"/>
      <c r="E978" s="89"/>
      <c r="F978" s="89"/>
      <c r="G978" s="89"/>
      <c r="H978" s="89"/>
      <c r="I978" s="89"/>
      <c r="J978" s="89"/>
      <c r="K978" s="89"/>
    </row>
    <row r="979">
      <c r="B979" s="89"/>
      <c r="C979" s="89"/>
      <c r="D979" s="89"/>
      <c r="E979" s="89"/>
      <c r="F979" s="89"/>
      <c r="G979" s="89"/>
      <c r="H979" s="89"/>
      <c r="I979" s="89"/>
      <c r="J979" s="89"/>
      <c r="K979" s="89"/>
    </row>
    <row r="980">
      <c r="B980" s="89"/>
      <c r="C980" s="89"/>
      <c r="D980" s="89"/>
      <c r="E980" s="89"/>
      <c r="F980" s="89"/>
      <c r="G980" s="89"/>
      <c r="H980" s="89"/>
      <c r="I980" s="89"/>
      <c r="J980" s="89"/>
      <c r="K980" s="89"/>
    </row>
    <row r="981">
      <c r="B981" s="89"/>
      <c r="C981" s="89"/>
      <c r="D981" s="89"/>
      <c r="E981" s="89"/>
      <c r="F981" s="89"/>
      <c r="G981" s="89"/>
      <c r="H981" s="89"/>
      <c r="I981" s="89"/>
      <c r="J981" s="89"/>
      <c r="K981" s="89"/>
    </row>
    <row r="982">
      <c r="B982" s="89"/>
      <c r="C982" s="89"/>
      <c r="D982" s="89"/>
      <c r="E982" s="89"/>
      <c r="F982" s="89"/>
      <c r="G982" s="89"/>
      <c r="H982" s="89"/>
      <c r="I982" s="89"/>
      <c r="J982" s="89"/>
      <c r="K982" s="89"/>
    </row>
    <row r="983">
      <c r="B983" s="89"/>
      <c r="C983" s="89"/>
      <c r="D983" s="89"/>
      <c r="E983" s="89"/>
      <c r="F983" s="89"/>
      <c r="G983" s="89"/>
      <c r="H983" s="89"/>
      <c r="I983" s="89"/>
      <c r="J983" s="89"/>
      <c r="K983" s="89"/>
    </row>
    <row r="984">
      <c r="B984" s="89"/>
      <c r="C984" s="89"/>
      <c r="D984" s="89"/>
      <c r="E984" s="89"/>
      <c r="F984" s="89"/>
      <c r="G984" s="89"/>
      <c r="H984" s="89"/>
      <c r="I984" s="89"/>
      <c r="J984" s="89"/>
      <c r="K984" s="89"/>
    </row>
    <row r="985">
      <c r="B985" s="89"/>
      <c r="C985" s="89"/>
      <c r="D985" s="89"/>
      <c r="E985" s="89"/>
      <c r="F985" s="89"/>
      <c r="G985" s="89"/>
      <c r="H985" s="89"/>
      <c r="I985" s="89"/>
      <c r="J985" s="89"/>
      <c r="K985" s="89"/>
    </row>
    <row r="986">
      <c r="B986" s="89"/>
      <c r="C986" s="89"/>
      <c r="D986" s="89"/>
      <c r="E986" s="89"/>
      <c r="F986" s="89"/>
      <c r="G986" s="89"/>
      <c r="H986" s="89"/>
      <c r="I986" s="89"/>
      <c r="J986" s="89"/>
      <c r="K986" s="89"/>
    </row>
    <row r="987">
      <c r="B987" s="89"/>
      <c r="C987" s="89"/>
      <c r="D987" s="89"/>
      <c r="E987" s="89"/>
      <c r="F987" s="89"/>
      <c r="G987" s="89"/>
      <c r="H987" s="89"/>
      <c r="I987" s="89"/>
      <c r="J987" s="89"/>
      <c r="K987" s="89"/>
    </row>
    <row r="988">
      <c r="B988" s="89"/>
      <c r="C988" s="89"/>
      <c r="D988" s="89"/>
      <c r="E988" s="89"/>
      <c r="F988" s="89"/>
      <c r="G988" s="89"/>
      <c r="H988" s="89"/>
      <c r="I988" s="89"/>
      <c r="J988" s="89"/>
      <c r="K988" s="89"/>
    </row>
    <row r="989">
      <c r="B989" s="89"/>
      <c r="C989" s="89"/>
      <c r="D989" s="89"/>
      <c r="E989" s="89"/>
      <c r="F989" s="89"/>
      <c r="G989" s="89"/>
      <c r="H989" s="89"/>
      <c r="I989" s="89"/>
      <c r="J989" s="89"/>
      <c r="K989" s="89"/>
    </row>
    <row r="990">
      <c r="B990" s="89"/>
      <c r="C990" s="89"/>
      <c r="D990" s="89"/>
      <c r="E990" s="89"/>
      <c r="F990" s="89"/>
      <c r="G990" s="89"/>
      <c r="H990" s="89"/>
      <c r="I990" s="89"/>
      <c r="J990" s="89"/>
      <c r="K990" s="89"/>
    </row>
    <row r="991">
      <c r="B991" s="89"/>
      <c r="C991" s="89"/>
      <c r="D991" s="89"/>
      <c r="E991" s="89"/>
      <c r="F991" s="89"/>
      <c r="G991" s="89"/>
      <c r="H991" s="89"/>
      <c r="I991" s="89"/>
      <c r="J991" s="89"/>
      <c r="K991" s="89"/>
    </row>
    <row r="992">
      <c r="B992" s="89"/>
      <c r="C992" s="89"/>
      <c r="D992" s="89"/>
      <c r="E992" s="89"/>
      <c r="F992" s="89"/>
      <c r="G992" s="89"/>
      <c r="H992" s="89"/>
      <c r="I992" s="89"/>
      <c r="J992" s="89"/>
      <c r="K992" s="89"/>
    </row>
    <row r="993">
      <c r="B993" s="89"/>
      <c r="C993" s="89"/>
      <c r="D993" s="89"/>
      <c r="E993" s="89"/>
      <c r="F993" s="89"/>
      <c r="G993" s="89"/>
      <c r="H993" s="89"/>
      <c r="I993" s="89"/>
      <c r="J993" s="89"/>
      <c r="K993" s="89"/>
    </row>
    <row r="994">
      <c r="B994" s="89"/>
      <c r="C994" s="89"/>
      <c r="D994" s="89"/>
      <c r="E994" s="89"/>
      <c r="F994" s="89"/>
      <c r="G994" s="89"/>
      <c r="H994" s="89"/>
      <c r="I994" s="89"/>
      <c r="J994" s="89"/>
      <c r="K994" s="89"/>
    </row>
    <row r="995">
      <c r="B995" s="89"/>
      <c r="C995" s="89"/>
      <c r="D995" s="89"/>
      <c r="E995" s="89"/>
      <c r="F995" s="89"/>
      <c r="G995" s="89"/>
      <c r="H995" s="89"/>
      <c r="I995" s="89"/>
      <c r="J995" s="89"/>
      <c r="K995" s="89"/>
    </row>
    <row r="996">
      <c r="B996" s="89"/>
      <c r="C996" s="89"/>
      <c r="D996" s="89"/>
      <c r="E996" s="89"/>
      <c r="F996" s="89"/>
      <c r="G996" s="89"/>
      <c r="H996" s="89"/>
      <c r="I996" s="89"/>
      <c r="J996" s="89"/>
      <c r="K996" s="89"/>
    </row>
    <row r="997">
      <c r="B997" s="89"/>
      <c r="C997" s="89"/>
      <c r="D997" s="89"/>
      <c r="E997" s="89"/>
      <c r="F997" s="89"/>
      <c r="G997" s="89"/>
      <c r="H997" s="89"/>
      <c r="I997" s="89"/>
      <c r="J997" s="89"/>
      <c r="K997" s="89"/>
    </row>
    <row r="998">
      <c r="B998" s="89"/>
      <c r="C998" s="89"/>
      <c r="D998" s="89"/>
      <c r="E998" s="89"/>
      <c r="F998" s="89"/>
      <c r="G998" s="89"/>
      <c r="H998" s="89"/>
      <c r="I998" s="89"/>
      <c r="J998" s="89"/>
      <c r="K998" s="89"/>
    </row>
    <row r="999">
      <c r="B999" s="89"/>
      <c r="C999" s="89"/>
      <c r="D999" s="89"/>
      <c r="E999" s="89"/>
      <c r="F999" s="89"/>
      <c r="G999" s="89"/>
      <c r="H999" s="89"/>
      <c r="I999" s="89"/>
      <c r="J999" s="89"/>
      <c r="K999" s="89"/>
    </row>
    <row r="1000">
      <c r="B1000" s="89"/>
      <c r="C1000" s="89"/>
      <c r="D1000" s="89"/>
      <c r="E1000" s="89"/>
      <c r="F1000" s="89"/>
      <c r="G1000" s="89"/>
      <c r="H1000" s="89"/>
      <c r="I1000" s="89"/>
      <c r="J1000" s="89"/>
      <c r="K1000" s="89"/>
    </row>
  </sheetData>
  <mergeCells count="2">
    <mergeCell ref="A1:C1"/>
    <mergeCell ref="B3:E3"/>
  </mergeCells>
  <drawing r:id="rId1"/>
</worksheet>
</file>